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edus\bdo\GenerateSeed\data\"/>
    </mc:Choice>
  </mc:AlternateContent>
  <xr:revisionPtr revIDLastSave="0" documentId="13_ncr:1_{29C396DC-399C-451E-893D-C94AC7D4FDE9}" xr6:coauthVersionLast="47" xr6:coauthVersionMax="47" xr10:uidLastSave="{00000000-0000-0000-0000-000000000000}"/>
  <bookViews>
    <workbookView xWindow="-120" yWindow="-120" windowWidth="38640" windowHeight="21240" tabRatio="608" xr2:uid="{8DA11762-819A-42FF-9D30-318FDA48D8A8}"/>
  </bookViews>
  <sheets>
    <sheet name="TREE MAST Custom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9" l="1"/>
  <c r="G7" i="9" l="1"/>
  <c r="G5" i="9" l="1"/>
  <c r="I5" i="9"/>
  <c r="K5" i="9"/>
  <c r="M5" i="9"/>
  <c r="O5" i="9"/>
  <c r="Q5" i="9"/>
  <c r="S5" i="9"/>
  <c r="E5" i="9"/>
</calcChain>
</file>

<file path=xl/sharedStrings.xml><?xml version="1.0" encoding="utf-8"?>
<sst xmlns="http://schemas.openxmlformats.org/spreadsheetml/2006/main" count="2430" uniqueCount="1266">
  <si>
    <t>Category</t>
  </si>
  <si>
    <t>Group</t>
  </si>
  <si>
    <t>Label</t>
  </si>
  <si>
    <t>Subgroup1EntryID</t>
  </si>
  <si>
    <t>Subgroup1Label</t>
  </si>
  <si>
    <t>Subgroup2EntryID</t>
  </si>
  <si>
    <t>Subgroup2Label</t>
  </si>
  <si>
    <t>Subgroup3EntryID</t>
  </si>
  <si>
    <t>Subgroup3Label</t>
  </si>
  <si>
    <t>Subgroup4EntryID</t>
  </si>
  <si>
    <t>Subgroup4Label</t>
  </si>
  <si>
    <t>Subgroup5EntryID</t>
  </si>
  <si>
    <t>Subgroup5Label</t>
  </si>
  <si>
    <t>Subgroup6EntryID</t>
  </si>
  <si>
    <t>Subgroup6Label</t>
  </si>
  <si>
    <t>Subgroup7EntryID</t>
  </si>
  <si>
    <t>Subgroup7Label</t>
  </si>
  <si>
    <t>Subgroup8EntryID</t>
  </si>
  <si>
    <t>Subgroup8Label</t>
  </si>
  <si>
    <t>Column1</t>
  </si>
  <si>
    <t>Human Resources</t>
  </si>
  <si>
    <t>Number of staff</t>
  </si>
  <si>
    <t>Number of staff by FTE (all of MAST)</t>
  </si>
  <si>
    <t>Total</t>
  </si>
  <si>
    <t>Full-Time</t>
  </si>
  <si>
    <t>Part-Time</t>
  </si>
  <si>
    <t>Casual</t>
  </si>
  <si>
    <t>Average Age</t>
  </si>
  <si>
    <t>Average tenure</t>
  </si>
  <si>
    <t>Number of staff by department</t>
  </si>
  <si>
    <t>Board</t>
  </si>
  <si>
    <t>Senior Mngt/Executive</t>
  </si>
  <si>
    <t>Administrative</t>
  </si>
  <si>
    <t>Recreational Boating</t>
  </si>
  <si>
    <t>Commercial Boating</t>
  </si>
  <si>
    <t>Infrastructure</t>
  </si>
  <si>
    <t>Education</t>
  </si>
  <si>
    <t>Other</t>
  </si>
  <si>
    <t>LC: BOARDS EYE VIEW - Composite KPI Index results (100 base score)</t>
  </si>
  <si>
    <t>DDR: Stakeholders</t>
  </si>
  <si>
    <t>DDR: Service Delivery</t>
  </si>
  <si>
    <t>DDR: Management &amp; Governance</t>
  </si>
  <si>
    <t>DDR: People &amp; Culture</t>
  </si>
  <si>
    <t>DDR: Financial Management</t>
  </si>
  <si>
    <t>DDR: MAST PERFORMANCE FRAMEWORK REPORT</t>
  </si>
  <si>
    <t>Capacity of staff</t>
  </si>
  <si>
    <t>MAST workforce capacity and utilisation</t>
  </si>
  <si>
    <t>Max hours available</t>
  </si>
  <si>
    <t>Hours planned</t>
  </si>
  <si>
    <t>Hours worked</t>
  </si>
  <si>
    <t>OT &amp; TOIL hours</t>
  </si>
  <si>
    <t>X Axis</t>
  </si>
  <si>
    <t>Stakeholders</t>
  </si>
  <si>
    <t>Service Delivery</t>
  </si>
  <si>
    <t>Mngt &amp; Governance</t>
  </si>
  <si>
    <t>People &amp; Culture</t>
  </si>
  <si>
    <t>Financial Mngt</t>
  </si>
  <si>
    <t>Ref</t>
  </si>
  <si>
    <t>Title</t>
  </si>
  <si>
    <t>FormulaID</t>
  </si>
  <si>
    <t>Parent</t>
  </si>
  <si>
    <t xml:space="preserve">Capacity by department </t>
  </si>
  <si>
    <t>Current period</t>
  </si>
  <si>
    <t>NODE1</t>
  </si>
  <si>
    <t>Stakeholder satisfaction survey results</t>
  </si>
  <si>
    <t>Opportunity &amp; Risk</t>
  </si>
  <si>
    <t>MAST staff demographics</t>
  </si>
  <si>
    <t>T</t>
  </si>
  <si>
    <t>Financial Performance</t>
  </si>
  <si>
    <t>IMPACT</t>
  </si>
  <si>
    <t>People &amp; Culture Metrics/Drivers</t>
  </si>
  <si>
    <t>Hours unplanned absence/sick leave</t>
  </si>
  <si>
    <t>Number of WHS incidents reported</t>
  </si>
  <si>
    <t>Number of Workers Comp claims</t>
  </si>
  <si>
    <t>Number of staff development plans in place</t>
  </si>
  <si>
    <t>6 months previous</t>
  </si>
  <si>
    <t>P(6,596)</t>
  </si>
  <si>
    <t>P(6,590)</t>
  </si>
  <si>
    <t>P(6,597)</t>
  </si>
  <si>
    <t>P(6,598)</t>
  </si>
  <si>
    <t>P(6,595)</t>
  </si>
  <si>
    <t>NODE2</t>
  </si>
  <si>
    <t>Boat fleet demographics</t>
  </si>
  <si>
    <t>I am satisfied my primary boat ramp</t>
  </si>
  <si>
    <t>LTIFR</t>
  </si>
  <si>
    <t>Staffing Mix</t>
  </si>
  <si>
    <t>Revenue drivers</t>
  </si>
  <si>
    <t>Stakeholders: I am satisfied my primary boat ramp</t>
  </si>
  <si>
    <t>Annual Performance Reviews</t>
  </si>
  <si>
    <t>12 months previous</t>
  </si>
  <si>
    <t>P(12,596)</t>
  </si>
  <si>
    <t>P(12,590)</t>
  </si>
  <si>
    <t>P(12,597)</t>
  </si>
  <si>
    <t>P(12,598)</t>
  </si>
  <si>
    <t>P(12,595)</t>
  </si>
  <si>
    <t>NODE3</t>
  </si>
  <si>
    <t>Boat fleet age</t>
  </si>
  <si>
    <t>MAST provides excellent value for money  from registration fees and license fees with improved facilities and education</t>
  </si>
  <si>
    <t>Rec boating incidents per 1,000 boats</t>
  </si>
  <si>
    <t>% staff Full-Time</t>
  </si>
  <si>
    <t>License holder retention rate</t>
  </si>
  <si>
    <t>Stakeholders: MAST provides excellent value for money  from registration fees and license fees with improved facilities and education</t>
  </si>
  <si>
    <t>Cost of staff</t>
  </si>
  <si>
    <t>Payroll cost</t>
  </si>
  <si>
    <t>18 months previous</t>
  </si>
  <si>
    <t>P(18,596)</t>
  </si>
  <si>
    <t>P(18,590)</t>
  </si>
  <si>
    <t>P(18,597)</t>
  </si>
  <si>
    <t>P(18,598)</t>
  </si>
  <si>
    <t>P(18,595)</t>
  </si>
  <si>
    <t>NODE4</t>
  </si>
  <si>
    <t>Average age all boats</t>
  </si>
  <si>
    <t>I regularly service and inspect your life jacket</t>
  </si>
  <si>
    <t>% complaints resolved</t>
  </si>
  <si>
    <t>% staff Part-Time</t>
  </si>
  <si>
    <t>License holders per 1,000 popn.</t>
  </si>
  <si>
    <t>Stakeholders: Over the last 5 years the quality of recreational boating facilities has improved</t>
  </si>
  <si>
    <t>Payroll cost by department</t>
  </si>
  <si>
    <t>Corporate/Admin</t>
  </si>
  <si>
    <t>Facilities</t>
  </si>
  <si>
    <t>Moorings</t>
  </si>
  <si>
    <t>Ports &amp; Pilotage</t>
  </si>
  <si>
    <t>24 months previous</t>
  </si>
  <si>
    <t>P(24,596)</t>
  </si>
  <si>
    <t>P(24,590)</t>
  </si>
  <si>
    <t>P(24,597)</t>
  </si>
  <si>
    <t>P(24,598)</t>
  </si>
  <si>
    <t>P(24,595)</t>
  </si>
  <si>
    <t>NODE5</t>
  </si>
  <si>
    <t>Average age Fibreglass boats</t>
  </si>
  <si>
    <t>The information provided by MAST in recent times regarding safety is excellent</t>
  </si>
  <si>
    <t>Fiscal management - revenue variation %</t>
  </si>
  <si>
    <t>% staff Casual</t>
  </si>
  <si>
    <t>No. of registered boats</t>
  </si>
  <si>
    <t>Stakeholders: I find the MAST resources valuable</t>
  </si>
  <si>
    <t>Leave Liability (measure against benchmarks)</t>
  </si>
  <si>
    <t>Annual Leave</t>
  </si>
  <si>
    <t>Long Service Leave</t>
  </si>
  <si>
    <t>Sick Leave</t>
  </si>
  <si>
    <t>30 months previous</t>
  </si>
  <si>
    <t>P(30,596)</t>
  </si>
  <si>
    <t>P(30,590)</t>
  </si>
  <si>
    <t>P(30,597)</t>
  </si>
  <si>
    <t>P(30,598)</t>
  </si>
  <si>
    <t>P(30,595)</t>
  </si>
  <si>
    <t>NODE6</t>
  </si>
  <si>
    <t>Average age Alloy boats</t>
  </si>
  <si>
    <t>The boat wise newsletter provides useful information which I always read</t>
  </si>
  <si>
    <t>Fiscal management - expense variation %</t>
  </si>
  <si>
    <t>Staff profile</t>
  </si>
  <si>
    <t>Tasmanian boat ownership rate</t>
  </si>
  <si>
    <t>OUTCOMES</t>
  </si>
  <si>
    <t>Revenue</t>
  </si>
  <si>
    <t>Revenue breakup</t>
  </si>
  <si>
    <t>All revenue</t>
  </si>
  <si>
    <t>Grants</t>
  </si>
  <si>
    <t>Boat Registrations</t>
  </si>
  <si>
    <t>Boat licenses</t>
  </si>
  <si>
    <t>Investment</t>
  </si>
  <si>
    <t>Commercial Vessels</t>
  </si>
  <si>
    <t>Other revenue</t>
  </si>
  <si>
    <t>36 months previous</t>
  </si>
  <si>
    <t>P(36,596)</t>
  </si>
  <si>
    <t>P(36,590)</t>
  </si>
  <si>
    <t>P(36,597)</t>
  </si>
  <si>
    <t>P(36,598)</t>
  </si>
  <si>
    <t>P(36,595)</t>
  </si>
  <si>
    <t>NODE7</t>
  </si>
  <si>
    <t>Average age other material boats</t>
  </si>
  <si>
    <t>Over the last 5 years the quality of recreational boating facilities has improved</t>
  </si>
  <si>
    <t>Forecasted R&amp;M/Renewal as % budget</t>
  </si>
  <si>
    <t>Average age</t>
  </si>
  <si>
    <t>Boats registered per 1,000 popn.</t>
  </si>
  <si>
    <t>Outcome 1: Ensuring the safety of all vessels in Tasmanian Waters</t>
  </si>
  <si>
    <t>Composition of grant revenue</t>
  </si>
  <si>
    <t>MAST recurring appropriation</t>
  </si>
  <si>
    <t>Other grants</t>
  </si>
  <si>
    <t>42 months previous</t>
  </si>
  <si>
    <t>P(42,596)</t>
  </si>
  <si>
    <t>P(42,590)</t>
  </si>
  <si>
    <t>P(42,597)</t>
  </si>
  <si>
    <t>P(42,598)</t>
  </si>
  <si>
    <t>P(42,595)</t>
  </si>
  <si>
    <t>NODE8</t>
  </si>
  <si>
    <t>Boat registrations</t>
  </si>
  <si>
    <t>I often engage with MAST on web, social media or in person</t>
  </si>
  <si>
    <t>Sick leave/Unplanned absence % total hours</t>
  </si>
  <si>
    <t>No. Pilotage movements</t>
  </si>
  <si>
    <t>Number of Police issued infringements</t>
  </si>
  <si>
    <t>Fiscal management</t>
  </si>
  <si>
    <t>Income variance analysis (% var. budget)</t>
  </si>
  <si>
    <t>Total MAST revenue</t>
  </si>
  <si>
    <t>Recreational - License Fees</t>
  </si>
  <si>
    <t>Recreational - Registration Fees</t>
  </si>
  <si>
    <t>Interest</t>
  </si>
  <si>
    <t>All other revenue</t>
  </si>
  <si>
    <t>48 months previous</t>
  </si>
  <si>
    <t>P(48,596)</t>
  </si>
  <si>
    <t>P(48,590)</t>
  </si>
  <si>
    <t>P(48,597)</t>
  </si>
  <si>
    <t>P(48,598)</t>
  </si>
  <si>
    <t>P(48,595)</t>
  </si>
  <si>
    <t>NODE9</t>
  </si>
  <si>
    <t>No. current registrations</t>
  </si>
  <si>
    <t>I find the MAST resources valuable</t>
  </si>
  <si>
    <t>Overtime/TOIL hours % hours worked</t>
  </si>
  <si>
    <t>MAST workforce utilisation</t>
  </si>
  <si>
    <t>Revenue composition</t>
  </si>
  <si>
    <t>Total incidents in period</t>
  </si>
  <si>
    <t>Expenditure variance analysis (% var. budget)</t>
  </si>
  <si>
    <t>Total MAST expenditure</t>
  </si>
  <si>
    <t>Employee expenses</t>
  </si>
  <si>
    <t>Supplies &amp; Consumables</t>
  </si>
  <si>
    <t>Facilities maintenance</t>
  </si>
  <si>
    <t>Rec Boating Funding Prog.</t>
  </si>
  <si>
    <t>Depreciation</t>
  </si>
  <si>
    <t>All other expenses</t>
  </si>
  <si>
    <t>54 months previous</t>
  </si>
  <si>
    <t>P(54,596)</t>
  </si>
  <si>
    <t>P(54,590)</t>
  </si>
  <si>
    <t>P(54,597)</t>
  </si>
  <si>
    <t>P(54,598)</t>
  </si>
  <si>
    <t>P(54,595)</t>
  </si>
  <si>
    <t>NODE10</t>
  </si>
  <si>
    <t>No. new registrations in period</t>
  </si>
  <si>
    <t>I find MAST staff approachable and informative</t>
  </si>
  <si>
    <t>% of licenses issued by partners</t>
  </si>
  <si>
    <t>Hours of capacity in period</t>
  </si>
  <si>
    <t>% revenue grants</t>
  </si>
  <si>
    <t>Stakeholder Survey: I regularly service and inspect your life jacket</t>
  </si>
  <si>
    <t>Creditor Turnover - days</t>
  </si>
  <si>
    <t>60 months previous</t>
  </si>
  <si>
    <t>P(60,596)</t>
  </si>
  <si>
    <t>P(60,590)</t>
  </si>
  <si>
    <t>P(60,597)</t>
  </si>
  <si>
    <t>P(60,598)</t>
  </si>
  <si>
    <t>P(60,595)</t>
  </si>
  <si>
    <t>NODE11</t>
  </si>
  <si>
    <t>No. transfer registrations in period</t>
  </si>
  <si>
    <t>I am satisfied with the way MAST handles my queries</t>
  </si>
  <si>
    <t>Rec boating fleet size</t>
  </si>
  <si>
    <t>Planned % of capacity</t>
  </si>
  <si>
    <t>% revenue registrations</t>
  </si>
  <si>
    <t xml:space="preserve">Outcome 2: Providing and managing marine infrastructure that delivers safe access to waterways for all users </t>
  </si>
  <si>
    <t>Number of boat registrations</t>
  </si>
  <si>
    <t>Current registrations</t>
  </si>
  <si>
    <t>New Registrations</t>
  </si>
  <si>
    <t>Transfer of Ownership</t>
  </si>
  <si>
    <t>Cancelled Registrations</t>
  </si>
  <si>
    <t>NODE12</t>
  </si>
  <si>
    <t>No. registrations cancelled in period</t>
  </si>
  <si>
    <t>Growth in license holders</t>
  </si>
  <si>
    <t>Worked % of planned</t>
  </si>
  <si>
    <t>% revenue licenses</t>
  </si>
  <si>
    <t>Total No. of asset repair, upgrade &amp; remove projects completed</t>
  </si>
  <si>
    <t>Boat registration retention rate</t>
  </si>
  <si>
    <t>LC: Stakeholder Numbers</t>
  </si>
  <si>
    <t>NODE13</t>
  </si>
  <si>
    <t>Boat geographic dispersion</t>
  </si>
  <si>
    <t>Nav aid reliability %</t>
  </si>
  <si>
    <t>Overtime/TOIL % of planned</t>
  </si>
  <si>
    <t>% revenue moorings</t>
  </si>
  <si>
    <t>Number of navigational aids maintained</t>
  </si>
  <si>
    <t>Number of license holders</t>
  </si>
  <si>
    <t>Current licenses, PWC &amp; Provisionals</t>
  </si>
  <si>
    <t>New licenses &amp; PWC - ex course</t>
  </si>
  <si>
    <t>New licenses &amp; PWC - ex interstate</t>
  </si>
  <si>
    <t>Cancelled Licenses</t>
  </si>
  <si>
    <t>No. of license holders</t>
  </si>
  <si>
    <t>No. of boats registered</t>
  </si>
  <si>
    <t>No. of moorings registered</t>
  </si>
  <si>
    <t>NODE14</t>
  </si>
  <si>
    <t>No. located in North</t>
  </si>
  <si>
    <t>Vulnerability &amp; Resilience</t>
  </si>
  <si>
    <t>Culture</t>
  </si>
  <si>
    <t>% revenue investments</t>
  </si>
  <si>
    <t>Infrastructure assets</t>
  </si>
  <si>
    <t>Triennial Renewal Rate - normal license</t>
  </si>
  <si>
    <t>Triennial Renewal Rate - PWC's</t>
  </si>
  <si>
    <t>Monthly Renewal Rate - Provisional to Full.</t>
  </si>
  <si>
    <t>NODE15</t>
  </si>
  <si>
    <t>No. located in East</t>
  </si>
  <si>
    <t>Average result - stakeholder survey</t>
  </si>
  <si>
    <t>Staff Survey</t>
  </si>
  <si>
    <t>% commercial vessels</t>
  </si>
  <si>
    <t>Stakeholder Survey: Over the last 5 years the quality of recreational boating facilities has improved</t>
  </si>
  <si>
    <t>Number of moorings</t>
  </si>
  <si>
    <t>Total number of moorings</t>
  </si>
  <si>
    <t>No. transferable</t>
  </si>
  <si>
    <t>No. nontransferable</t>
  </si>
  <si>
    <t>No. fish farm boundary markers</t>
  </si>
  <si>
    <t>Previous period</t>
  </si>
  <si>
    <t>P(6,489)</t>
  </si>
  <si>
    <t>P(6,490)</t>
  </si>
  <si>
    <t>P(6,491)</t>
  </si>
  <si>
    <t>NODE16</t>
  </si>
  <si>
    <t>No. located in South</t>
  </si>
  <si>
    <t>Average result - staff survey</t>
  </si>
  <si>
    <t>I am treated with dignity &amp; respect</t>
  </si>
  <si>
    <t>% other revenue</t>
  </si>
  <si>
    <t>Stakeholder Survey: I find the MAST resources valuable</t>
  </si>
  <si>
    <t>Mooring renewal retention rate</t>
  </si>
  <si>
    <t>P(12,489)</t>
  </si>
  <si>
    <t>P(12,490)</t>
  </si>
  <si>
    <t>P(12,491)</t>
  </si>
  <si>
    <t>NODE17</t>
  </si>
  <si>
    <t>No. located in North-West</t>
  </si>
  <si>
    <t>Staff CPD spend % of revenue</t>
  </si>
  <si>
    <t>I feel welcome</t>
  </si>
  <si>
    <t>Outcome 3: Supporting key agencies on matters relating to the marine environment</t>
  </si>
  <si>
    <t>Number of Commercial Vessels</t>
  </si>
  <si>
    <t>P(18,489)</t>
  </si>
  <si>
    <t>P(18,490)</t>
  </si>
  <si>
    <t>P(18,491)</t>
  </si>
  <si>
    <t>NODE18</t>
  </si>
  <si>
    <t>License Holder Demographics</t>
  </si>
  <si>
    <t>MAST revenue per license holder</t>
  </si>
  <si>
    <t>My wellbeing is considered important</t>
  </si>
  <si>
    <t>Commercial Vessel retention rate</t>
  </si>
  <si>
    <t>P(24,489)</t>
  </si>
  <si>
    <t>P(24,490)</t>
  </si>
  <si>
    <t>P(24,491)</t>
  </si>
  <si>
    <t>NODE19</t>
  </si>
  <si>
    <t>Average age of license holders</t>
  </si>
  <si>
    <t>Ave. Rego/license/mooring per license holder</t>
  </si>
  <si>
    <t>I get support that enhances my performance</t>
  </si>
  <si>
    <t>Admin/Overhead spend</t>
  </si>
  <si>
    <t>All of MAST</t>
  </si>
  <si>
    <t>P(30,489)</t>
  </si>
  <si>
    <t>P(30,490)</t>
  </si>
  <si>
    <t>P(30,491)</t>
  </si>
  <si>
    <t>NODE20</t>
  </si>
  <si>
    <t>Admin/Overhead %</t>
  </si>
  <si>
    <t>I have access to the resources and tools necessary to do my job well</t>
  </si>
  <si>
    <t>Opportunity &amp; Risk Focus</t>
  </si>
  <si>
    <t>No. of pilotage movements</t>
  </si>
  <si>
    <t>Funds composition</t>
  </si>
  <si>
    <t>Total cash holding</t>
  </si>
  <si>
    <t>Committed funds</t>
  </si>
  <si>
    <t>Uncommitted funds</t>
  </si>
  <si>
    <t>P(36,489)</t>
  </si>
  <si>
    <t>P(36,490)</t>
  </si>
  <si>
    <t>P(36,491)</t>
  </si>
  <si>
    <t>NODE21</t>
  </si>
  <si>
    <t>Funding composition - uncommitted funds %</t>
  </si>
  <si>
    <t>I am actively involved in service improvement</t>
  </si>
  <si>
    <t>Total uncommitted funds</t>
  </si>
  <si>
    <t xml:space="preserve">Outcome 4: MAST is engaged with stakeholders, recreational boat users and to community </t>
  </si>
  <si>
    <t>Recreational Boating Fund</t>
  </si>
  <si>
    <t>Infrastructure Fund</t>
  </si>
  <si>
    <t>Small Boating Fund</t>
  </si>
  <si>
    <t>Small Project Fund</t>
  </si>
  <si>
    <t>Total RBF</t>
  </si>
  <si>
    <t>P(42,489)</t>
  </si>
  <si>
    <t>P(42,490)</t>
  </si>
  <si>
    <t>P(42,491)</t>
  </si>
  <si>
    <t>NODE22</t>
  </si>
  <si>
    <t>Solvency - Current ratio (X:1)</t>
  </si>
  <si>
    <t>Workforce training and development is of high quality</t>
  </si>
  <si>
    <t>Uncommitted funds % revenue</t>
  </si>
  <si>
    <t>Total engagement reach - programs</t>
  </si>
  <si>
    <t>Staff training expense (all CPD, formal training etc.)</t>
  </si>
  <si>
    <t>P(48,489)</t>
  </si>
  <si>
    <t>P(48,490)</t>
  </si>
  <si>
    <t>P(48,491)</t>
  </si>
  <si>
    <t>NODE23</t>
  </si>
  <si>
    <t>Day's trading in cash reserves (days)</t>
  </si>
  <si>
    <t>I am able to safely make suggestions and complaint to improve business performance</t>
  </si>
  <si>
    <t>Cost control: Admin/Overhead %</t>
  </si>
  <si>
    <t>No. Right to information &amp; Complaints</t>
  </si>
  <si>
    <t>Total R&amp;M, Replacements, Renewals in period</t>
  </si>
  <si>
    <t>R&amp;M - all assets</t>
  </si>
  <si>
    <t>Depreciation - all assets</t>
  </si>
  <si>
    <t>P(54,489)</t>
  </si>
  <si>
    <t>P(54,490)</t>
  </si>
  <si>
    <t>P(54,491)</t>
  </si>
  <si>
    <t>NODE24</t>
  </si>
  <si>
    <t>Revenue % of all assets</t>
  </si>
  <si>
    <t>NODE25</t>
  </si>
  <si>
    <t>There is a focus on knowledge &amp; capability development</t>
  </si>
  <si>
    <t>Ave. Leave liability balance per employee</t>
  </si>
  <si>
    <t>Total number of engagements (Phone, web visits, social media etc.)</t>
  </si>
  <si>
    <t>Solvency</t>
  </si>
  <si>
    <t>Total current assets</t>
  </si>
  <si>
    <t>P(60,489)</t>
  </si>
  <si>
    <t>P(60,490)</t>
  </si>
  <si>
    <t>P(60,491)</t>
  </si>
  <si>
    <t>Total No. of Moorings</t>
  </si>
  <si>
    <t>NODE26</t>
  </si>
  <si>
    <t>I feel safe in the work environment</t>
  </si>
  <si>
    <t>Creditors turnover days</t>
  </si>
  <si>
    <t>Total No. of students engaged</t>
  </si>
  <si>
    <t>Total non-current assets</t>
  </si>
  <si>
    <t>No. new in period</t>
  </si>
  <si>
    <t>NODE27</t>
  </si>
  <si>
    <t>I feel that I am recognised and valued</t>
  </si>
  <si>
    <t>Staff training &amp; CPD spend per employee $</t>
  </si>
  <si>
    <t xml:space="preserve">Outcome 5: MAST is a results driven, resilient and progressive organisation, </t>
  </si>
  <si>
    <t>Total current liabilities</t>
  </si>
  <si>
    <t>LC: Boat average ages</t>
  </si>
  <si>
    <t>No. cancelled</t>
  </si>
  <si>
    <t>NODE28</t>
  </si>
  <si>
    <t>I feel like my capabilities are recognised and utilised</t>
  </si>
  <si>
    <t>Total non-current liabilities</t>
  </si>
  <si>
    <t>All boats</t>
  </si>
  <si>
    <t>Glass</t>
  </si>
  <si>
    <t>Alloy</t>
  </si>
  <si>
    <t>No. compliance actions</t>
  </si>
  <si>
    <t>NODE29</t>
  </si>
  <si>
    <t>I feel that there is a career pathway for me</t>
  </si>
  <si>
    <t>Current ratio (x:1)</t>
  </si>
  <si>
    <t>Boating fleet age by hull type</t>
  </si>
  <si>
    <t>Average age of all boats</t>
  </si>
  <si>
    <t>Ave. age - Fibreglass</t>
  </si>
  <si>
    <t>Ave. age  - Alloy</t>
  </si>
  <si>
    <t>Ave. age all other materials</t>
  </si>
  <si>
    <t>NODE30</t>
  </si>
  <si>
    <t>I feel that I belong in the organisation</t>
  </si>
  <si>
    <t>Net assets $</t>
  </si>
  <si>
    <t>Boating fleet age by length</t>
  </si>
  <si>
    <t>&lt;4.50m</t>
  </si>
  <si>
    <t>4.51m - 6.00m</t>
  </si>
  <si>
    <t>6.01m - 7.50m</t>
  </si>
  <si>
    <t>7.51m - 10.0m</t>
  </si>
  <si>
    <t>10.01m - 20.00m</t>
  </si>
  <si>
    <t>&lt;20.01m</t>
  </si>
  <si>
    <t>P(6,472)</t>
  </si>
  <si>
    <t>P(6,473)</t>
  </si>
  <si>
    <t>P(6,474)</t>
  </si>
  <si>
    <t>P(6,475)</t>
  </si>
  <si>
    <t>NODE31</t>
  </si>
  <si>
    <t>I am motivated to be actively involved</t>
  </si>
  <si>
    <t>Grants composition</t>
  </si>
  <si>
    <t>Number North</t>
  </si>
  <si>
    <t>Number East</t>
  </si>
  <si>
    <t>Number South</t>
  </si>
  <si>
    <t>Number North-West</t>
  </si>
  <si>
    <t>P(12,472)</t>
  </si>
  <si>
    <t>P(12,473)</t>
  </si>
  <si>
    <t>P(12,474)</t>
  </si>
  <si>
    <t>P(12,475)</t>
  </si>
  <si>
    <t>NODE32</t>
  </si>
  <si>
    <t>Organisational support enables me to be effective</t>
  </si>
  <si>
    <t xml:space="preserve">MAST recurring appropriation </t>
  </si>
  <si>
    <t>Expense variance analysis (% var. budget)</t>
  </si>
  <si>
    <t>License holder demographic</t>
  </si>
  <si>
    <t>Located in North</t>
  </si>
  <si>
    <t>Located in East</t>
  </si>
  <si>
    <t>Located in South</t>
  </si>
  <si>
    <t>Located in North-West</t>
  </si>
  <si>
    <t>P(18,472)</t>
  </si>
  <si>
    <t>P(18,473)</t>
  </si>
  <si>
    <t>P(18,474)</t>
  </si>
  <si>
    <t>P(18,475)</t>
  </si>
  <si>
    <t>NODE33</t>
  </si>
  <si>
    <t>I have confidence in the staff supports system</t>
  </si>
  <si>
    <t xml:space="preserve">Employee safety &amp; culture: LTIFR </t>
  </si>
  <si>
    <t xml:space="preserve">Total Number </t>
  </si>
  <si>
    <t>New</t>
  </si>
  <si>
    <t>Cancelled</t>
  </si>
  <si>
    <t>Number of compliance actions</t>
  </si>
  <si>
    <t>Number in North</t>
  </si>
  <si>
    <t>Number in East</t>
  </si>
  <si>
    <t>Number in South</t>
  </si>
  <si>
    <t>Number in North-West</t>
  </si>
  <si>
    <t>P(24,472)</t>
  </si>
  <si>
    <t>P(24,473)</t>
  </si>
  <si>
    <t>P(24,474)</t>
  </si>
  <si>
    <t>P(24,475)</t>
  </si>
  <si>
    <t>NODE34</t>
  </si>
  <si>
    <t>My quality of work-life is good</t>
  </si>
  <si>
    <t>Employee safety and culture: % unplanned absence</t>
  </si>
  <si>
    <t>Derelict vessels</t>
  </si>
  <si>
    <t>No. active notices</t>
  </si>
  <si>
    <t>No. of notices forward to DPP in period</t>
  </si>
  <si>
    <t>No. of notices resolved in period</t>
  </si>
  <si>
    <t>P(30,472)</t>
  </si>
  <si>
    <t>P(30,473)</t>
  </si>
  <si>
    <t>P(30,474)</t>
  </si>
  <si>
    <t>P(30,475)</t>
  </si>
  <si>
    <t>NODE35</t>
  </si>
  <si>
    <t>I often consider alternate employment</t>
  </si>
  <si>
    <t>% complaints resolved in period</t>
  </si>
  <si>
    <t>Safety &amp; Compliance</t>
  </si>
  <si>
    <t>Compliance activity</t>
  </si>
  <si>
    <t>Number of Police infringements</t>
  </si>
  <si>
    <t>Number of cautions</t>
  </si>
  <si>
    <t>Number of directions</t>
  </si>
  <si>
    <t>Number of inspections</t>
  </si>
  <si>
    <t>P(36,472)</t>
  </si>
  <si>
    <t>P(36,473)</t>
  </si>
  <si>
    <t>P(36,474)</t>
  </si>
  <si>
    <t>P(36,475)</t>
  </si>
  <si>
    <t>NODE36</t>
  </si>
  <si>
    <t>Staff Safety</t>
  </si>
  <si>
    <t>Staff survey - aver result</t>
  </si>
  <si>
    <t>Compliance outcomes</t>
  </si>
  <si>
    <t>Non Compliance % - Licenses</t>
  </si>
  <si>
    <t>Non Compliance % - Safety Equipment</t>
  </si>
  <si>
    <t>Non Compliance % - Registration</t>
  </si>
  <si>
    <t>Non Compliance % - User behaviour</t>
  </si>
  <si>
    <t>P(42,472)</t>
  </si>
  <si>
    <t>P(42,473)</t>
  </si>
  <si>
    <t>P(42,474)</t>
  </si>
  <si>
    <t>P(42,475)</t>
  </si>
  <si>
    <t>NODE37</t>
  </si>
  <si>
    <t>Stakeholder survey -  aver result</t>
  </si>
  <si>
    <t>Boating incidents</t>
  </si>
  <si>
    <t>Fatal</t>
  </si>
  <si>
    <t>Serious Injury</t>
  </si>
  <si>
    <t>Minor Injury</t>
  </si>
  <si>
    <t>Vessel lost</t>
  </si>
  <si>
    <t>Other serious damage</t>
  </si>
  <si>
    <t>Damage to property only</t>
  </si>
  <si>
    <t>No damage</t>
  </si>
  <si>
    <t>P(48,472)</t>
  </si>
  <si>
    <t>P(48,473)</t>
  </si>
  <si>
    <t>P(48,474)</t>
  </si>
  <si>
    <t>P(48,475)</t>
  </si>
  <si>
    <t>NODE38</t>
  </si>
  <si>
    <t>No. of WHS incidents in period</t>
  </si>
  <si>
    <t>MAST VALUE CHAIN</t>
  </si>
  <si>
    <t>Marine debris</t>
  </si>
  <si>
    <t>No. marine debris notifications</t>
  </si>
  <si>
    <t>No. MAST infringements issued</t>
  </si>
  <si>
    <t>No. incidents - rope</t>
  </si>
  <si>
    <t>No. incidents - pipe</t>
  </si>
  <si>
    <t>No - incidents - buoys</t>
  </si>
  <si>
    <t>No. incidents - other</t>
  </si>
  <si>
    <t>P(54,472)</t>
  </si>
  <si>
    <t>P(54,473)</t>
  </si>
  <si>
    <t>P(54,474)</t>
  </si>
  <si>
    <t>P(54,475)</t>
  </si>
  <si>
    <t>No. notices forward to DPP</t>
  </si>
  <si>
    <t>NODE39</t>
  </si>
  <si>
    <t>No. of workers Comp. claims in period</t>
  </si>
  <si>
    <t>Regulatory systems and processes are robust &amp; cohesive</t>
  </si>
  <si>
    <t>MAST Infrastructure</t>
  </si>
  <si>
    <t>Terminated</t>
  </si>
  <si>
    <t>Number Repaired/Upgraded</t>
  </si>
  <si>
    <t>P(60,472)</t>
  </si>
  <si>
    <t>P(60,473)</t>
  </si>
  <si>
    <t>P(60,474)</t>
  </si>
  <si>
    <t>P(60,475)</t>
  </si>
  <si>
    <t>No. notices resolved in period</t>
  </si>
  <si>
    <t>NODE40</t>
  </si>
  <si>
    <t>% hours unplanned absence</t>
  </si>
  <si>
    <t>No. of inspections</t>
  </si>
  <si>
    <t>Infrastructure assets type</t>
  </si>
  <si>
    <t>Jetties</t>
  </si>
  <si>
    <t>Boat ramps</t>
  </si>
  <si>
    <t xml:space="preserve">Pontoons </t>
  </si>
  <si>
    <t>Breakwaters</t>
  </si>
  <si>
    <t>Navigation aids</t>
  </si>
  <si>
    <t>% of inspections resulting in Police infringements</t>
  </si>
  <si>
    <t>Infrastructure maintenance &amp; safety</t>
  </si>
  <si>
    <t>No. assets repaired</t>
  </si>
  <si>
    <t>No. assets upgraded</t>
  </si>
  <si>
    <t>No. assets removed</t>
  </si>
  <si>
    <t>No. assets inspected</t>
  </si>
  <si>
    <t>LC: Boat and license holder geographic dispersion</t>
  </si>
  <si>
    <t>NODE41</t>
  </si>
  <si>
    <t>% of inspections resulting in cautions</t>
  </si>
  <si>
    <t>Public awareness and education</t>
  </si>
  <si>
    <t>Number of educational events/programs</t>
  </si>
  <si>
    <t>Number of flare displays</t>
  </si>
  <si>
    <t>Number of ramp inspections</t>
  </si>
  <si>
    <t>Total number of people engaged with programs</t>
  </si>
  <si>
    <t>% Licenses in North</t>
  </si>
  <si>
    <t>% Boats in North</t>
  </si>
  <si>
    <t>% Licenses in East</t>
  </si>
  <si>
    <t>% Boats in East</t>
  </si>
  <si>
    <t>% Licenses in South</t>
  </si>
  <si>
    <t>% Boats in South</t>
  </si>
  <si>
    <t>% Licenses in NW</t>
  </si>
  <si>
    <t>% Boats in NW</t>
  </si>
  <si>
    <t>NODE42</t>
  </si>
  <si>
    <t>No. Police infringements in period</t>
  </si>
  <si>
    <t>% of inspections resulting in directions</t>
  </si>
  <si>
    <t>Navigation aid reliability</t>
  </si>
  <si>
    <t>Reliability %</t>
  </si>
  <si>
    <t>Number of outages on aids in period</t>
  </si>
  <si>
    <t>Number of aids becoming due for R&amp;M/renewal in 12 months</t>
  </si>
  <si>
    <t>NODE43</t>
  </si>
  <si>
    <t>No. cautions in period</t>
  </si>
  <si>
    <t xml:space="preserve">Safety education </t>
  </si>
  <si>
    <t>Stakeholder engagement</t>
  </si>
  <si>
    <t>Engagement</t>
  </si>
  <si>
    <t>No. website visits</t>
  </si>
  <si>
    <t>Phone calls</t>
  </si>
  <si>
    <t>No. of social media posts</t>
  </si>
  <si>
    <t>Social media account followers</t>
  </si>
  <si>
    <t>Deckee Usage</t>
  </si>
  <si>
    <t>Notice to Mariners issued</t>
  </si>
  <si>
    <t>Notice to mariners Subscribed</t>
  </si>
  <si>
    <t>P(6,481)</t>
  </si>
  <si>
    <t>P(6,482)</t>
  </si>
  <si>
    <t>P(6,483)</t>
  </si>
  <si>
    <t>P(6,484)</t>
  </si>
  <si>
    <t>P(6,485)</t>
  </si>
  <si>
    <t>P(6,486)</t>
  </si>
  <si>
    <t>P(6,487)</t>
  </si>
  <si>
    <t>P(6,488)</t>
  </si>
  <si>
    <t>NODE44</t>
  </si>
  <si>
    <t>No. directions in period</t>
  </si>
  <si>
    <t>Total number of education events</t>
  </si>
  <si>
    <t>Right to information &amp; Complaints</t>
  </si>
  <si>
    <t>Right to information requests</t>
  </si>
  <si>
    <t>Number of complaints</t>
  </si>
  <si>
    <t>Number of Minsterial's</t>
  </si>
  <si>
    <t>No. of complaints resolved in period</t>
  </si>
  <si>
    <t>P(12,481)</t>
  </si>
  <si>
    <t>P(12,482)</t>
  </si>
  <si>
    <t>P(12,483)</t>
  </si>
  <si>
    <t>P(12,484)</t>
  </si>
  <si>
    <t>P(12,485)</t>
  </si>
  <si>
    <t>P(12,486)</t>
  </si>
  <si>
    <t>P(12,487)</t>
  </si>
  <si>
    <t>P(12,488)</t>
  </si>
  <si>
    <t>NODE45</t>
  </si>
  <si>
    <t>No. inspections in period</t>
  </si>
  <si>
    <t>Stakeholders: I regularly service and inspect your life jacket</t>
  </si>
  <si>
    <t>License Partner Compliance</t>
  </si>
  <si>
    <t>License Partners</t>
  </si>
  <si>
    <t>% of licenses issued through partners</t>
  </si>
  <si>
    <t>Number of providers</t>
  </si>
  <si>
    <t>Number of instructors</t>
  </si>
  <si>
    <t>PWC providers</t>
  </si>
  <si>
    <t>PWC instructors</t>
  </si>
  <si>
    <t>P(18,481)</t>
  </si>
  <si>
    <t>P(18,482)</t>
  </si>
  <si>
    <t>P(18,483)</t>
  </si>
  <si>
    <t>P(18,484)</t>
  </si>
  <si>
    <t>P(18,485)</t>
  </si>
  <si>
    <t>P(18,486)</t>
  </si>
  <si>
    <t>P(18,487)</t>
  </si>
  <si>
    <t>P(18,488)</t>
  </si>
  <si>
    <t>NODE46</t>
  </si>
  <si>
    <t>No. Boating incidents</t>
  </si>
  <si>
    <t>License partner compliance</t>
  </si>
  <si>
    <t>% of license partners audited in period</t>
  </si>
  <si>
    <t>No. of adverse findings</t>
  </si>
  <si>
    <t>P(24,481)</t>
  </si>
  <si>
    <t>P(24,482)</t>
  </si>
  <si>
    <t>P(24,483)</t>
  </si>
  <si>
    <t>P(24,484)</t>
  </si>
  <si>
    <t>P(24,485)</t>
  </si>
  <si>
    <t>P(24,486)</t>
  </si>
  <si>
    <t>P(24,487)</t>
  </si>
  <si>
    <t>P(24,488)</t>
  </si>
  <si>
    <t>NODE47</t>
  </si>
  <si>
    <t>Non-compliant % - licenses</t>
  </si>
  <si>
    <t>Regulatory compliance enforcement</t>
  </si>
  <si>
    <t>License course participants</t>
  </si>
  <si>
    <t>% license course participants audited</t>
  </si>
  <si>
    <t>P(30,481)</t>
  </si>
  <si>
    <t>P(30,482)</t>
  </si>
  <si>
    <t>P(30,483)</t>
  </si>
  <si>
    <t>P(30,484)</t>
  </si>
  <si>
    <t>P(30,485)</t>
  </si>
  <si>
    <t>P(30,486)</t>
  </si>
  <si>
    <t>P(30,487)</t>
  </si>
  <si>
    <t>P(30,488)</t>
  </si>
  <si>
    <t>NODE48</t>
  </si>
  <si>
    <t>Non-compliant % - safety equipment</t>
  </si>
  <si>
    <t>Rec boating Inspection frequency rate</t>
  </si>
  <si>
    <t>Schools Education Program</t>
  </si>
  <si>
    <t>Number of schools visited by MAST</t>
  </si>
  <si>
    <t>Total number of students engaged</t>
  </si>
  <si>
    <t>No. Public Schools visited</t>
  </si>
  <si>
    <t>No. Primary Schools visited</t>
  </si>
  <si>
    <t>No. High Schools visited</t>
  </si>
  <si>
    <t>No. Private schools visited</t>
  </si>
  <si>
    <t>P(36,481)</t>
  </si>
  <si>
    <t>P(36,482)</t>
  </si>
  <si>
    <t>P(36,483)</t>
  </si>
  <si>
    <t>P(36,484)</t>
  </si>
  <si>
    <t>P(36,485)</t>
  </si>
  <si>
    <t>P(36,486)</t>
  </si>
  <si>
    <t>P(36,487)</t>
  </si>
  <si>
    <t>P(36,488)</t>
  </si>
  <si>
    <t>NODE49</t>
  </si>
  <si>
    <t>Non-compliant % - registrations</t>
  </si>
  <si>
    <t>Boating incident freq. rate</t>
  </si>
  <si>
    <t>Port Operations &amp; Compliance</t>
  </si>
  <si>
    <t>Delegated Functions (based on most recent 12 month audit period completed)</t>
  </si>
  <si>
    <t>Observations issued</t>
  </si>
  <si>
    <t>Non conformances issued</t>
  </si>
  <si>
    <t>No. of CAR's that required extension</t>
  </si>
  <si>
    <t>No. of CAR's outstanding from previous year</t>
  </si>
  <si>
    <t>P(42,481)</t>
  </si>
  <si>
    <t>P(42,482)</t>
  </si>
  <si>
    <t>P(42,483)</t>
  </si>
  <si>
    <t>P(42,484)</t>
  </si>
  <si>
    <t>P(42,485)</t>
  </si>
  <si>
    <t>P(42,486)</t>
  </si>
  <si>
    <t>P(42,487)</t>
  </si>
  <si>
    <t>P(42,488)</t>
  </si>
  <si>
    <t>NODE50</t>
  </si>
  <si>
    <t>Non-compliant % - user behaviour</t>
  </si>
  <si>
    <t>No. pilotage incidents</t>
  </si>
  <si>
    <t>Pilotage Incidents</t>
  </si>
  <si>
    <t>Number of pilotage incidents</t>
  </si>
  <si>
    <t>No. incidents investigated by Pilotage provider</t>
  </si>
  <si>
    <t>No. incidents investigated by MAST</t>
  </si>
  <si>
    <t>P(48,481)</t>
  </si>
  <si>
    <t>P(48,482)</t>
  </si>
  <si>
    <t>P(48,483)</t>
  </si>
  <si>
    <t>P(48,484)</t>
  </si>
  <si>
    <t>P(48,485)</t>
  </si>
  <si>
    <t>P(48,486)</t>
  </si>
  <si>
    <t>P(48,487)</t>
  </si>
  <si>
    <t>P(48,488)</t>
  </si>
  <si>
    <t>NODE51</t>
  </si>
  <si>
    <t>Pilotage incident freq. rate</t>
  </si>
  <si>
    <t>Pilots</t>
  </si>
  <si>
    <t>Number of licensed pilots</t>
  </si>
  <si>
    <t>Hobart Zone A</t>
  </si>
  <si>
    <t>Hobart Zone B</t>
  </si>
  <si>
    <t>Hobart Zone C</t>
  </si>
  <si>
    <t>Port Arthur</t>
  </si>
  <si>
    <t>Coles Bay</t>
  </si>
  <si>
    <t>Adventure Bay</t>
  </si>
  <si>
    <t>Launceston Zone D</t>
  </si>
  <si>
    <t>P(54,481)</t>
  </si>
  <si>
    <t>P(54,482)</t>
  </si>
  <si>
    <t>P(54,483)</t>
  </si>
  <si>
    <t>P(54,484)</t>
  </si>
  <si>
    <t>P(54,485)</t>
  </si>
  <si>
    <t>P(54,486)</t>
  </si>
  <si>
    <t>P(54,487)</t>
  </si>
  <si>
    <t>P(54,488)</t>
  </si>
  <si>
    <t>NODE52</t>
  </si>
  <si>
    <t>Total No. incidents in period</t>
  </si>
  <si>
    <t xml:space="preserve">Average noncompliance rate - recreational boating </t>
  </si>
  <si>
    <t>Launceston Zone E</t>
  </si>
  <si>
    <t>Devonport</t>
  </si>
  <si>
    <t>Burnie</t>
  </si>
  <si>
    <t>Port Latta</t>
  </si>
  <si>
    <t>Stanley</t>
  </si>
  <si>
    <t>Grassy</t>
  </si>
  <si>
    <t>Naracoopa</t>
  </si>
  <si>
    <t>Lady Baron</t>
  </si>
  <si>
    <t>P(60,481)</t>
  </si>
  <si>
    <t>P(60,482)</t>
  </si>
  <si>
    <t>P(60,483)</t>
  </si>
  <si>
    <t>P(60,484)</t>
  </si>
  <si>
    <t>P(60,485)</t>
  </si>
  <si>
    <t>P(60,486)</t>
  </si>
  <si>
    <t>P(60,487)</t>
  </si>
  <si>
    <t>P(60,488)</t>
  </si>
  <si>
    <t>NODE53</t>
  </si>
  <si>
    <t>No. fatal</t>
  </si>
  <si>
    <t>Provision and management of navigation infrastructure</t>
  </si>
  <si>
    <t>Strahan</t>
  </si>
  <si>
    <t>Port Davey</t>
  </si>
  <si>
    <t>Spring Bay</t>
  </si>
  <si>
    <t>NODE54</t>
  </si>
  <si>
    <t>No. serious injury</t>
  </si>
  <si>
    <t>No. nav aids maintained</t>
  </si>
  <si>
    <t>Pilotage exemption certificates</t>
  </si>
  <si>
    <t>No. of PEC holders</t>
  </si>
  <si>
    <t>No. of PEC holders on foreign flagged</t>
  </si>
  <si>
    <t>No. of PEC holders on Australian flagged</t>
  </si>
  <si>
    <t>LC: Schools Education Reach</t>
  </si>
  <si>
    <t>NODE55</t>
  </si>
  <si>
    <t>No. minor injury</t>
  </si>
  <si>
    <t>No. outages</t>
  </si>
  <si>
    <t>Total No. schools visited</t>
  </si>
  <si>
    <t>Target No. schools visited</t>
  </si>
  <si>
    <t>Total No. students engaged</t>
  </si>
  <si>
    <t>Target No. students engaged</t>
  </si>
  <si>
    <t>NODE56</t>
  </si>
  <si>
    <t>No. vessel lost</t>
  </si>
  <si>
    <t>NODE57</t>
  </si>
  <si>
    <t>No. other serious damage</t>
  </si>
  <si>
    <t>No. of nav aids due for repairs/renewal in 12 months</t>
  </si>
  <si>
    <t>No. pilotage movements</t>
  </si>
  <si>
    <t>P(6,446)</t>
  </si>
  <si>
    <t>P(6,1791)</t>
  </si>
  <si>
    <t>P(6,448)</t>
  </si>
  <si>
    <t>P(6,1792)</t>
  </si>
  <si>
    <t>NODE58</t>
  </si>
  <si>
    <t>No. damage to property only</t>
  </si>
  <si>
    <t>Provision and management of launching and access  facilities</t>
  </si>
  <si>
    <t>Survey Results - Staff</t>
  </si>
  <si>
    <t>P(12,446)</t>
  </si>
  <si>
    <t>P(12,1791)</t>
  </si>
  <si>
    <t>P(12,448)</t>
  </si>
  <si>
    <t>P(12,1792)</t>
  </si>
  <si>
    <t>NODE59</t>
  </si>
  <si>
    <t>No. no damage</t>
  </si>
  <si>
    <t>No. license holders per boat ramp</t>
  </si>
  <si>
    <t>P(18,446)</t>
  </si>
  <si>
    <t>P(18,1791)</t>
  </si>
  <si>
    <t>P(18,448)</t>
  </si>
  <si>
    <t>P(18,1792)</t>
  </si>
  <si>
    <t>NODE60</t>
  </si>
  <si>
    <t>Public awareness &amp; education</t>
  </si>
  <si>
    <t>No. boat registrations per boat ramp</t>
  </si>
  <si>
    <t>P(24,446)</t>
  </si>
  <si>
    <t>P(24,1791)</t>
  </si>
  <si>
    <t>P(24,448)</t>
  </si>
  <si>
    <t>P(24,1792)</t>
  </si>
  <si>
    <t>NODE61</t>
  </si>
  <si>
    <t>No. educational events/programs in period</t>
  </si>
  <si>
    <t>% of revenue spent on infrastructure</t>
  </si>
  <si>
    <t>P(30,446)</t>
  </si>
  <si>
    <t>P(30,1791)</t>
  </si>
  <si>
    <t>P(30,448)</t>
  </si>
  <si>
    <t>P(30,1792)</t>
  </si>
  <si>
    <t>NODE62</t>
  </si>
  <si>
    <t>No. flare displays in period</t>
  </si>
  <si>
    <t>Total number of launching and access facility assets</t>
  </si>
  <si>
    <t>P(36,446)</t>
  </si>
  <si>
    <t>P(36,1791)</t>
  </si>
  <si>
    <t>P(36,448)</t>
  </si>
  <si>
    <t>P(36,1792)</t>
  </si>
  <si>
    <t>NODE63</t>
  </si>
  <si>
    <t>No. of safety inspections at the ramp site</t>
  </si>
  <si>
    <t>Waterways Management &amp; Port Regulation</t>
  </si>
  <si>
    <t>P(42,446)</t>
  </si>
  <si>
    <t>P(42,1791)</t>
  </si>
  <si>
    <t>P(42,448)</t>
  </si>
  <si>
    <t>P(42,1792)</t>
  </si>
  <si>
    <t>NODE64</t>
  </si>
  <si>
    <t>Total No. people engaged with MAST programs in period</t>
  </si>
  <si>
    <t>No. pilotage Incidents</t>
  </si>
  <si>
    <t>P(48,446)</t>
  </si>
  <si>
    <t>P(48,1791)</t>
  </si>
  <si>
    <t>P(48,448)</t>
  </si>
  <si>
    <t>P(48,1792)</t>
  </si>
  <si>
    <t>NODE65</t>
  </si>
  <si>
    <t>Boating Infrastructure</t>
  </si>
  <si>
    <t>No. licensed pilots</t>
  </si>
  <si>
    <t>P(54,446)</t>
  </si>
  <si>
    <t>P(54,1791)</t>
  </si>
  <si>
    <t>P(54,448)</t>
  </si>
  <si>
    <t>P(54,1792)</t>
  </si>
  <si>
    <t>NODE66</t>
  </si>
  <si>
    <t>Infrastructure Assets</t>
  </si>
  <si>
    <t>NODE68</t>
  </si>
  <si>
    <t>Total No. PEC holders</t>
  </si>
  <si>
    <t>P(60,446)</t>
  </si>
  <si>
    <t>P(60,1791)</t>
  </si>
  <si>
    <t>P(60,448)</t>
  </si>
  <si>
    <t>P(60,1792)</t>
  </si>
  <si>
    <t>NODE67</t>
  </si>
  <si>
    <t>Total number of assets</t>
  </si>
  <si>
    <t>No. pilotage audit CAR's outstanding from previous year</t>
  </si>
  <si>
    <t>Marine environment risk management</t>
  </si>
  <si>
    <t>LC: Stakeholder engagement</t>
  </si>
  <si>
    <t>NODE69</t>
  </si>
  <si>
    <t>No. terminated in period</t>
  </si>
  <si>
    <t>No. phone calls</t>
  </si>
  <si>
    <t>No. social media followers</t>
  </si>
  <si>
    <t>NODE70</t>
  </si>
  <si>
    <t>No. repaired/upgraded in period</t>
  </si>
  <si>
    <t>No. Notice to Mariners issued</t>
  </si>
  <si>
    <t>NODE71</t>
  </si>
  <si>
    <t>No. Nav aid outages</t>
  </si>
  <si>
    <t>P(6,494)</t>
  </si>
  <si>
    <t>P(6,495)</t>
  </si>
  <si>
    <t>P(6,1793)</t>
  </si>
  <si>
    <t>NODE72</t>
  </si>
  <si>
    <t>No. jetties</t>
  </si>
  <si>
    <t>Improvement management</t>
  </si>
  <si>
    <t>P(12,494)</t>
  </si>
  <si>
    <t>P(12,495)</t>
  </si>
  <si>
    <t>P(12,1793)</t>
  </si>
  <si>
    <t>NODE73</t>
  </si>
  <si>
    <t>No. boat ramps</t>
  </si>
  <si>
    <t>Stakeholder survey: I am satisfied with the way MAST handles my queries</t>
  </si>
  <si>
    <t>P(18,494)</t>
  </si>
  <si>
    <t>P(18,495)</t>
  </si>
  <si>
    <t>P(18,1793)</t>
  </si>
  <si>
    <t>NODE74</t>
  </si>
  <si>
    <t>No. pontoons</t>
  </si>
  <si>
    <t>Staff survey: I am actively involved in service improvement</t>
  </si>
  <si>
    <t>P(24,494)</t>
  </si>
  <si>
    <t>P(24,495)</t>
  </si>
  <si>
    <t>P(24,1793)</t>
  </si>
  <si>
    <t>NODE75</t>
  </si>
  <si>
    <t>No. breakwaters</t>
  </si>
  <si>
    <t>CAPABILITIES</t>
  </si>
  <si>
    <t>P(30,494)</t>
  </si>
  <si>
    <t>P(30,495)</t>
  </si>
  <si>
    <t>P(30,1793)</t>
  </si>
  <si>
    <t>NODE76</t>
  </si>
  <si>
    <t>No. navigation aids</t>
  </si>
  <si>
    <t>Investment and offer that generates viability</t>
  </si>
  <si>
    <t>P(36,494)</t>
  </si>
  <si>
    <t>P(36,495)</t>
  </si>
  <si>
    <t>P(36,1793)</t>
  </si>
  <si>
    <t>NODE77</t>
  </si>
  <si>
    <t>Infrastructure projects completed</t>
  </si>
  <si>
    <t>License holder retention rate %</t>
  </si>
  <si>
    <t>Survey Results – Stakeholders</t>
  </si>
  <si>
    <t>P(42,494)</t>
  </si>
  <si>
    <t>P(42,495)</t>
  </si>
  <si>
    <t>P(42,1793)</t>
  </si>
  <si>
    <t>NODE78</t>
  </si>
  <si>
    <t>Current ratio (X:1)</t>
  </si>
  <si>
    <t>P(48,494)</t>
  </si>
  <si>
    <t>P(48,495)</t>
  </si>
  <si>
    <t>P(48,1793)</t>
  </si>
  <si>
    <t>NODE79</t>
  </si>
  <si>
    <t>Risk &amp; Opportunity: Total uncommitted funds %</t>
  </si>
  <si>
    <t>P(54,494)</t>
  </si>
  <si>
    <t>P(54,495)</t>
  </si>
  <si>
    <t>P(54,1793)</t>
  </si>
  <si>
    <t>NODE80</t>
  </si>
  <si>
    <t>PRODUCTIVE WORK ENVIRONMENT</t>
  </si>
  <si>
    <t>P(60,494)</t>
  </si>
  <si>
    <t>P(60,495)</t>
  </si>
  <si>
    <t>P(60,1793)</t>
  </si>
  <si>
    <t>NODE81</t>
  </si>
  <si>
    <t>Worked % of planned hours</t>
  </si>
  <si>
    <t>NODE82</t>
  </si>
  <si>
    <t>Average staff survey result</t>
  </si>
  <si>
    <t>LC: Frequency rates</t>
  </si>
  <si>
    <t>NODE83</t>
  </si>
  <si>
    <t>No. of navigation aids maintained</t>
  </si>
  <si>
    <t>No. WHS incidents</t>
  </si>
  <si>
    <t>Inspections per 1,000 boats</t>
  </si>
  <si>
    <t>Incidents per 1,000 boats</t>
  </si>
  <si>
    <t>NODE84</t>
  </si>
  <si>
    <t>Spend per FTE on CPD in period $</t>
  </si>
  <si>
    <t>NODE85</t>
  </si>
  <si>
    <t>No. of navigation aid outages in period</t>
  </si>
  <si>
    <t xml:space="preserve">ATTRACTING, DEVELOPING AND RETAINING HIGHLY SKILLED CAPABLE AND STAFF </t>
  </si>
  <si>
    <t>P(6,501)</t>
  </si>
  <si>
    <t>P(6,502)</t>
  </si>
  <si>
    <t>NODE86</t>
  </si>
  <si>
    <t>No. of navigation aids due for R&amp;M/Renewal in next 12 months</t>
  </si>
  <si>
    <t>Average staff tenure</t>
  </si>
  <si>
    <t>P(12,501)</t>
  </si>
  <si>
    <t>P(12,502)</t>
  </si>
  <si>
    <t>NODE87</t>
  </si>
  <si>
    <t>Targets</t>
  </si>
  <si>
    <t>P(18,501)</t>
  </si>
  <si>
    <t>P(18,502)</t>
  </si>
  <si>
    <t>NODE88</t>
  </si>
  <si>
    <t>Average staff age</t>
  </si>
  <si>
    <t>Financial</t>
  </si>
  <si>
    <t>Current ratio comfort threshold (X:1)</t>
  </si>
  <si>
    <t>P(24,501)</t>
  </si>
  <si>
    <t>P(24,502)</t>
  </si>
  <si>
    <t>NODE89</t>
  </si>
  <si>
    <t>No. website visits in period</t>
  </si>
  <si>
    <t>Staff Survey: Workforce training and development is of high quality</t>
  </si>
  <si>
    <t>P(30,501)</t>
  </si>
  <si>
    <t>P(30,502)</t>
  </si>
  <si>
    <t>NODE90</t>
  </si>
  <si>
    <t>No. phone calls in period</t>
  </si>
  <si>
    <t>Staff Survey: I often consider alternative employment</t>
  </si>
  <si>
    <t>P(36,501)</t>
  </si>
  <si>
    <t>P(36,502)</t>
  </si>
  <si>
    <t>NODE91</t>
  </si>
  <si>
    <t>No. of social media posts in period</t>
  </si>
  <si>
    <t xml:space="preserve">AGENCIES, TEAMS AND NETWORKS COLLABORATING TO DELIVER, IMPROVE AND INNOVATE </t>
  </si>
  <si>
    <t>P(42,501)</t>
  </si>
  <si>
    <t>P(42,502)</t>
  </si>
  <si>
    <t>NODE92</t>
  </si>
  <si>
    <t>No. of social media account 'followers'</t>
  </si>
  <si>
    <t>P(48,501)</t>
  </si>
  <si>
    <t>P(48,502)</t>
  </si>
  <si>
    <t>NODE93</t>
  </si>
  <si>
    <t>No. of Deckee users</t>
  </si>
  <si>
    <t>Staff Survey: I am actively involved in service improvement</t>
  </si>
  <si>
    <t>P(54,501)</t>
  </si>
  <si>
    <t>P(54,502)</t>
  </si>
  <si>
    <t>NODE94</t>
  </si>
  <si>
    <t>No. of Notice to mariners issued in period</t>
  </si>
  <si>
    <t>Staff Survey: I am motivated to be actively involved</t>
  </si>
  <si>
    <t>P(60,501)</t>
  </si>
  <si>
    <t>P(60,502)</t>
  </si>
  <si>
    <t>NODE95</t>
  </si>
  <si>
    <t>No. of subscribers - Notice to mariners</t>
  </si>
  <si>
    <t>ACCESS TO DATA AND INFORMATION ON WHICH TO BASE OPERATIONS, SUPPORT AND BUSINESS DECISIONS</t>
  </si>
  <si>
    <t>NODE96</t>
  </si>
  <si>
    <t>Right of information and complaints</t>
  </si>
  <si>
    <t>Stakeholders: The information provided by MAST in recent times regarding safety is excellent</t>
  </si>
  <si>
    <t>LC: Financial Management</t>
  </si>
  <si>
    <t>NODE97</t>
  </si>
  <si>
    <t>No. of ROI requests in period</t>
  </si>
  <si>
    <t>Income variance analysis (% Var. budget)</t>
  </si>
  <si>
    <t>Expenditure variance (% Var. budget)</t>
  </si>
  <si>
    <t>Column2</t>
  </si>
  <si>
    <t>NODE98</t>
  </si>
  <si>
    <t>No. of complaints in period</t>
  </si>
  <si>
    <t>PROVISION OF TECHNOLOGY, EQUIPMENT AND INVENTORY TO SUPPORT BUSINESS PERFORMANCE</t>
  </si>
  <si>
    <t>NODE99</t>
  </si>
  <si>
    <t>No. of Ministerial in period</t>
  </si>
  <si>
    <t>Staff: I have access to the resources and tools necessary to do my job well</t>
  </si>
  <si>
    <t>P(6,591)</t>
  </si>
  <si>
    <t>P(6,592)</t>
  </si>
  <si>
    <t>NODE100</t>
  </si>
  <si>
    <t xml:space="preserve">TRANSPARENT COMMUNICATION AND SAFE FEEDBACK MECHANISMS  </t>
  </si>
  <si>
    <t>P(12,591)</t>
  </si>
  <si>
    <t>P(12,592)</t>
  </si>
  <si>
    <t>NODE101</t>
  </si>
  <si>
    <t>Stakeholders: I am satisfied with the way MAST handles my queries</t>
  </si>
  <si>
    <t>P(18,591)</t>
  </si>
  <si>
    <t>P(18,592)</t>
  </si>
  <si>
    <t>NODE102</t>
  </si>
  <si>
    <t>No. of providers</t>
  </si>
  <si>
    <t>Staff: I am able to safely make suggestions and complaint to improve organisational performance</t>
  </si>
  <si>
    <t>P(24,591)</t>
  </si>
  <si>
    <t>P(24,592)</t>
  </si>
  <si>
    <t>NODE103</t>
  </si>
  <si>
    <t>No. of instructors</t>
  </si>
  <si>
    <t>CONTEMPORARY, ROBUST GOVERNANCE, FINANCIAL AND MANAGEMENT SYSTEMS</t>
  </si>
  <si>
    <t>P(30,591)</t>
  </si>
  <si>
    <t>P(30,592)</t>
  </si>
  <si>
    <t>NODE104</t>
  </si>
  <si>
    <t>No. of PWC providers</t>
  </si>
  <si>
    <t xml:space="preserve">People &amp; Culture: LTIFR </t>
  </si>
  <si>
    <t>P(36,591)</t>
  </si>
  <si>
    <t>P(36,592)</t>
  </si>
  <si>
    <t>NODE105</t>
  </si>
  <si>
    <t>No. of PWC instructors</t>
  </si>
  <si>
    <t>Stakeholder Centric: Inspection freq. rate</t>
  </si>
  <si>
    <t>P(42,591)</t>
  </si>
  <si>
    <t>P(42,592)</t>
  </si>
  <si>
    <t>NODE106</t>
  </si>
  <si>
    <t>Stakeholder  Centric: % complaints resolved</t>
  </si>
  <si>
    <t>P(48,591)</t>
  </si>
  <si>
    <t>P(48,592)</t>
  </si>
  <si>
    <t>NODE107</t>
  </si>
  <si>
    <t>No. of adverse findings from audits</t>
  </si>
  <si>
    <t>Average result - Stakeholder survey</t>
  </si>
  <si>
    <t>P(54,591)</t>
  </si>
  <si>
    <t>P(54,592)</t>
  </si>
  <si>
    <t>NODE108</t>
  </si>
  <si>
    <t>% of license course participants audited</t>
  </si>
  <si>
    <t>Average result - Staff survey</t>
  </si>
  <si>
    <t>P(60,591)</t>
  </si>
  <si>
    <t>P(60,592)</t>
  </si>
  <si>
    <t>NODE109</t>
  </si>
  <si>
    <t>No. of license course adverse findings</t>
  </si>
  <si>
    <t>Revenue per license holder</t>
  </si>
  <si>
    <t>NODE110</t>
  </si>
  <si>
    <t>School Education Program</t>
  </si>
  <si>
    <t xml:space="preserve">LC: Solvency </t>
  </si>
  <si>
    <t>NODE111</t>
  </si>
  <si>
    <t>No. of schools visited by MAST in period</t>
  </si>
  <si>
    <t>% Uncommitted funds</t>
  </si>
  <si>
    <t>Current ratio</t>
  </si>
  <si>
    <t>MAST Min. comfort threshold</t>
  </si>
  <si>
    <t>NODE112</t>
  </si>
  <si>
    <t xml:space="preserve">Applied in an approachable, proactive way where we are professional, needs and risk focused, innovative and accountable  </t>
  </si>
  <si>
    <t>NODE113</t>
  </si>
  <si>
    <t>Volume of engagement activity</t>
  </si>
  <si>
    <t>P(6,594)</t>
  </si>
  <si>
    <t>P(6,1790)</t>
  </si>
  <si>
    <t>NODE114</t>
  </si>
  <si>
    <t>No. Private Schools visited</t>
  </si>
  <si>
    <t>P(12,594)</t>
  </si>
  <si>
    <t>P(12,1790)</t>
  </si>
  <si>
    <t>NODE115</t>
  </si>
  <si>
    <t>No. High Schools Visited</t>
  </si>
  <si>
    <t>P(18,594)</t>
  </si>
  <si>
    <t>P(18,1790)</t>
  </si>
  <si>
    <t>NODE116</t>
  </si>
  <si>
    <t>Shipping</t>
  </si>
  <si>
    <t>P(24,594)</t>
  </si>
  <si>
    <t>P(24,1790)</t>
  </si>
  <si>
    <t>NODE117</t>
  </si>
  <si>
    <t>Stakeholders: The boat wise newsletter provides useful information which I always read</t>
  </si>
  <si>
    <t>P(30,594)</t>
  </si>
  <si>
    <t>P(30,1790)</t>
  </si>
  <si>
    <t>NODE118</t>
  </si>
  <si>
    <t>Delegated Functions</t>
  </si>
  <si>
    <t>P(36,594)</t>
  </si>
  <si>
    <t>P(36,1790)</t>
  </si>
  <si>
    <t>NODE119</t>
  </si>
  <si>
    <t>No. observations issued</t>
  </si>
  <si>
    <t>Stakeholders: I often engage with MAST on web, social media or in person</t>
  </si>
  <si>
    <t>P(42,594)</t>
  </si>
  <si>
    <t>P(42,1790)</t>
  </si>
  <si>
    <t>NODE120</t>
  </si>
  <si>
    <t>No. Non conformances issued</t>
  </si>
  <si>
    <t>P(48,594)</t>
  </si>
  <si>
    <t>P(48,1790)</t>
  </si>
  <si>
    <t>NODE121</t>
  </si>
  <si>
    <t>No. CAR's that required extension</t>
  </si>
  <si>
    <t>Stakeholders: I find MAST staff approachable and informative</t>
  </si>
  <si>
    <t>P(54,594)</t>
  </si>
  <si>
    <t>P(54,1790)</t>
  </si>
  <si>
    <t>NODE122</t>
  </si>
  <si>
    <t>No. CAR's outstanding from previous year</t>
  </si>
  <si>
    <t>P(60,594)</t>
  </si>
  <si>
    <t>P(60,1790)</t>
  </si>
  <si>
    <t>NODE123</t>
  </si>
  <si>
    <t>Pilotage incidents</t>
  </si>
  <si>
    <t>RECREATIONAL, COMMERCIAL VESSEL, SHIPPING &amp; MARINE OPERATIONS  BEHAVIOUR</t>
  </si>
  <si>
    <t>NODE124</t>
  </si>
  <si>
    <t>No of pilotage incidents in period</t>
  </si>
  <si>
    <t>Average Rec. boat age</t>
  </si>
  <si>
    <t>NODE125</t>
  </si>
  <si>
    <t>No. incidents investigated by provider</t>
  </si>
  <si>
    <t>Ave. No. boats per ramp facility</t>
  </si>
  <si>
    <t>LC: Complaints management</t>
  </si>
  <si>
    <t>NODE126</t>
  </si>
  <si>
    <t>Average age license holders</t>
  </si>
  <si>
    <t>% of complaints resolved</t>
  </si>
  <si>
    <t>NODE127</t>
  </si>
  <si>
    <t>Mooring noncompliance rate</t>
  </si>
  <si>
    <t>NODE128</t>
  </si>
  <si>
    <t>No. licensed pilots (Tasmania)</t>
  </si>
  <si>
    <t>Derelict vessels freq. rate</t>
  </si>
  <si>
    <t>P(6,514)</t>
  </si>
  <si>
    <t>NODE129</t>
  </si>
  <si>
    <t>P(12,514)</t>
  </si>
  <si>
    <t>NODE130</t>
  </si>
  <si>
    <t>P(18,514)</t>
  </si>
  <si>
    <t>NODE131</t>
  </si>
  <si>
    <t>P(24,514)</t>
  </si>
  <si>
    <t>NODE132</t>
  </si>
  <si>
    <t>P(30,514)</t>
  </si>
  <si>
    <t>NODE133</t>
  </si>
  <si>
    <t>P(36,514)</t>
  </si>
  <si>
    <t>NODE134</t>
  </si>
  <si>
    <t>P(42,514)</t>
  </si>
  <si>
    <t>NODE135</t>
  </si>
  <si>
    <t>P(48,514)</t>
  </si>
  <si>
    <t>NODE136</t>
  </si>
  <si>
    <t>P(54,514)</t>
  </si>
  <si>
    <t>NODE137</t>
  </si>
  <si>
    <t>P(60,514)</t>
  </si>
  <si>
    <t>NODE138</t>
  </si>
  <si>
    <t>NODE139</t>
  </si>
  <si>
    <t>LC: People &amp; Culture - Profile</t>
  </si>
  <si>
    <t>NODE140</t>
  </si>
  <si>
    <t>No. of FTE</t>
  </si>
  <si>
    <t>Ave. age</t>
  </si>
  <si>
    <t>Ave. tenure</t>
  </si>
  <si>
    <t>NODE141</t>
  </si>
  <si>
    <t>NODE142</t>
  </si>
  <si>
    <t>P(6,1778)</t>
  </si>
  <si>
    <t>P(6,537)</t>
  </si>
  <si>
    <t>P(6,538)</t>
  </si>
  <si>
    <t>P(6,563)</t>
  </si>
  <si>
    <t>NODE143</t>
  </si>
  <si>
    <t>P(12,1778)</t>
  </si>
  <si>
    <t>P(12,537)</t>
  </si>
  <si>
    <t>P(12,538)</t>
  </si>
  <si>
    <t>P(12,563)</t>
  </si>
  <si>
    <t>NODE144</t>
  </si>
  <si>
    <t>P(18,1778)</t>
  </si>
  <si>
    <t>P(18,537)</t>
  </si>
  <si>
    <t>P(18,538)</t>
  </si>
  <si>
    <t>P(18,563)</t>
  </si>
  <si>
    <t>NODE145</t>
  </si>
  <si>
    <t>P(24,1778)</t>
  </si>
  <si>
    <t>P(24,537)</t>
  </si>
  <si>
    <t>P(24,538)</t>
  </si>
  <si>
    <t>P(24,563)</t>
  </si>
  <si>
    <t>NODE146</t>
  </si>
  <si>
    <t>P(30,1778)</t>
  </si>
  <si>
    <t>P(30,537)</t>
  </si>
  <si>
    <t>P(30,538)</t>
  </si>
  <si>
    <t>P(30,563)</t>
  </si>
  <si>
    <t>NODE147</t>
  </si>
  <si>
    <t>P(36,1778)</t>
  </si>
  <si>
    <t>P(36,537)</t>
  </si>
  <si>
    <t>P(36,538)</t>
  </si>
  <si>
    <t>P(36,563)</t>
  </si>
  <si>
    <t>NODE148</t>
  </si>
  <si>
    <t>P(42,1778)</t>
  </si>
  <si>
    <t>P(42,537)</t>
  </si>
  <si>
    <t>P(42,538)</t>
  </si>
  <si>
    <t>P(42,563)</t>
  </si>
  <si>
    <t>NODE149</t>
  </si>
  <si>
    <t>No. PEC holders operating foreign flagged</t>
  </si>
  <si>
    <t>P(48,1778)</t>
  </si>
  <si>
    <t>P(48,537)</t>
  </si>
  <si>
    <t>P(48,538)</t>
  </si>
  <si>
    <t>P(48,563)</t>
  </si>
  <si>
    <t>NODE150</t>
  </si>
  <si>
    <t>No. PEC holders operating Australian flagged</t>
  </si>
  <si>
    <t>P(54,1778)</t>
  </si>
  <si>
    <t>P(54,537)</t>
  </si>
  <si>
    <t>P(54,538)</t>
  </si>
  <si>
    <t>P(54,563)</t>
  </si>
  <si>
    <t>NODE151</t>
  </si>
  <si>
    <t>P(60,1778)</t>
  </si>
  <si>
    <t>P(60,537)</t>
  </si>
  <si>
    <t>P(60,538)</t>
  </si>
  <si>
    <t>P(60,563)</t>
  </si>
  <si>
    <t>NODE152</t>
  </si>
  <si>
    <t>NODE153</t>
  </si>
  <si>
    <t>LC: People &amp; Culture - Utilisation</t>
  </si>
  <si>
    <t>NODE154</t>
  </si>
  <si>
    <t>Planned (rostered/worked) as % of capacity</t>
  </si>
  <si>
    <t>Worked as % of planned</t>
  </si>
  <si>
    <t>OT &amp; TOIL hours worked as % of planned</t>
  </si>
  <si>
    <t>NODE155</t>
  </si>
  <si>
    <t>NODE156</t>
  </si>
  <si>
    <t>P(6,540)</t>
  </si>
  <si>
    <t>P(6,541)</t>
  </si>
  <si>
    <t>P(6,542)</t>
  </si>
  <si>
    <t>NODE157</t>
  </si>
  <si>
    <t>P(12,540)</t>
  </si>
  <si>
    <t>P(12,541)</t>
  </si>
  <si>
    <t>P(12,542)</t>
  </si>
  <si>
    <t>NODE158</t>
  </si>
  <si>
    <t>P(18,540)</t>
  </si>
  <si>
    <t>P(18,541)</t>
  </si>
  <si>
    <t>P(18,542)</t>
  </si>
  <si>
    <t>NODE159</t>
  </si>
  <si>
    <t>P(24,540)</t>
  </si>
  <si>
    <t>P(24,541)</t>
  </si>
  <si>
    <t>P(24,542)</t>
  </si>
  <si>
    <t>NODE160</t>
  </si>
  <si>
    <t>P(30,540)</t>
  </si>
  <si>
    <t>P(30,541)</t>
  </si>
  <si>
    <t>P(30,542)</t>
  </si>
  <si>
    <t>NODE161</t>
  </si>
  <si>
    <t>P(36,540)</t>
  </si>
  <si>
    <t>P(36,541)</t>
  </si>
  <si>
    <t>P(36,542)</t>
  </si>
  <si>
    <t>NODE162</t>
  </si>
  <si>
    <t>P(42,540)</t>
  </si>
  <si>
    <t>P(42,541)</t>
  </si>
  <si>
    <t>P(42,542)</t>
  </si>
  <si>
    <t>NODE163</t>
  </si>
  <si>
    <t>P(48,540)</t>
  </si>
  <si>
    <t>P(48,541)</t>
  </si>
  <si>
    <t>P(48,542)</t>
  </si>
  <si>
    <t>NODE164</t>
  </si>
  <si>
    <t>P(54,540)</t>
  </si>
  <si>
    <t>P(54,541)</t>
  </si>
  <si>
    <t>P(54,542)</t>
  </si>
  <si>
    <t>NODE165</t>
  </si>
  <si>
    <t>P(60,540)</t>
  </si>
  <si>
    <t>P(60,541)</t>
  </si>
  <si>
    <t>P(60,542)</t>
  </si>
  <si>
    <t>NODE166</t>
  </si>
  <si>
    <t>NODE167</t>
  </si>
  <si>
    <t>LC: People &amp; Culture - Annual performance reviews</t>
  </si>
  <si>
    <t>NODE168</t>
  </si>
  <si>
    <t xml:space="preserve">% of staff who completed </t>
  </si>
  <si>
    <t>Column3</t>
  </si>
  <si>
    <t>NODE169</t>
  </si>
  <si>
    <t>NODE170</t>
  </si>
  <si>
    <t>No. of marine debris notifications</t>
  </si>
  <si>
    <t>P(6,1251)</t>
  </si>
  <si>
    <t>NODE171</t>
  </si>
  <si>
    <t>P(12,1251)</t>
  </si>
  <si>
    <t>NODE172</t>
  </si>
  <si>
    <t>Rope</t>
  </si>
  <si>
    <t>P(18,1251)</t>
  </si>
  <si>
    <t>NODE173</t>
  </si>
  <si>
    <t>Pipe</t>
  </si>
  <si>
    <t>P(24,1251)</t>
  </si>
  <si>
    <t>NODE174</t>
  </si>
  <si>
    <t>Buoys</t>
  </si>
  <si>
    <t>P(30,1251)</t>
  </si>
  <si>
    <t>NODE175</t>
  </si>
  <si>
    <t>P(36,1251)</t>
  </si>
  <si>
    <t>P(42,1251)</t>
  </si>
  <si>
    <t>P(48,1251)</t>
  </si>
  <si>
    <t>P(54,1251)</t>
  </si>
  <si>
    <t>P(60,1251)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</si>
</sst>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.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4" xfId="0" applyFill="1" applyBorder="1"/>
    <xf numFmtId="0" fontId="0" fillId="0" borderId="1" xfId="0" applyFill="1" applyBorder="1"/>
    <xf numFmtId="0" fontId="0" fillId="0" borderId="0" xfId="0" applyFill="1"/>
    <xf numFmtId="0" fontId="2" fillId="0" borderId="4" xfId="4" applyFill="1" applyBorder="1"/>
    <xf numFmtId="0" fontId="2" fillId="0" borderId="1" xfId="4" applyFill="1" applyBorder="1"/>
    <xf numFmtId="0" fontId="2" fillId="0" borderId="1" xfId="4" applyFill="1" applyBorder="1" applyAlignment="1">
      <alignment vertical="center"/>
    </xf>
    <xf numFmtId="0" fontId="0" fillId="0" borderId="2" xfId="0" applyFill="1" applyBorder="1"/>
    <xf numFmtId="0" fontId="0" fillId="0" borderId="3" xfId="0" applyFill="1" applyBorder="1"/>
    <xf numFmtId="0" fontId="0" fillId="0" borderId="6" xfId="0" applyFill="1" applyBorder="1"/>
    <xf numFmtId="0" fontId="0" fillId="0" borderId="5" xfId="0" applyFill="1" applyBorder="1"/>
    <xf numFmtId="0" fontId="0" fillId="0" borderId="9" xfId="0" applyFont="1" applyFill="1" applyBorder="1"/>
    <xf numFmtId="0" fontId="0" fillId="0" borderId="11" xfId="0" applyFont="1" applyFill="1" applyBorder="1"/>
    <xf numFmtId="0" fontId="4" fillId="0" borderId="0" xfId="0" applyFont="1" applyFill="1"/>
    <xf numFmtId="0" fontId="0" fillId="0" borderId="10" xfId="0" applyFont="1" applyFill="1" applyBorder="1"/>
    <xf numFmtId="0" fontId="0" fillId="0" borderId="8" xfId="0" applyFont="1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0" xfId="0" applyFill="1" applyBorder="1"/>
    <xf numFmtId="0" fontId="7" fillId="0" borderId="0" xfId="0" applyFont="1" applyFill="1" applyBorder="1"/>
    <xf numFmtId="0" fontId="7" fillId="0" borderId="0" xfId="4" applyFont="1" applyFill="1" applyBorder="1" applyAlignment="1">
      <alignment vertical="center"/>
    </xf>
    <xf numFmtId="0" fontId="7" fillId="0" borderId="0" xfId="0" applyFont="1" applyFill="1"/>
    <xf numFmtId="0" fontId="7" fillId="0" borderId="0" xfId="4" applyFont="1" applyFill="1" applyBorder="1"/>
    <xf numFmtId="0" fontId="7" fillId="0" borderId="0" xfId="0" applyFont="1" applyFill="1" applyBorder="1" applyAlignment="1">
      <alignment horizontal="left"/>
    </xf>
    <xf numFmtId="0" fontId="3" fillId="0" borderId="7" xfId="0" applyFont="1" applyFill="1" applyBorder="1"/>
    <xf numFmtId="0" fontId="6" fillId="0" borderId="0" xfId="0" applyFont="1" applyFill="1"/>
    <xf numFmtId="0" fontId="0" fillId="0" borderId="10" xfId="0" applyFill="1" applyBorder="1"/>
    <xf numFmtId="0" fontId="0" fillId="0" borderId="11" xfId="0" applyFill="1" applyBorder="1"/>
    <xf numFmtId="0" fontId="4" fillId="0" borderId="8" xfId="0" applyFont="1" applyFill="1" applyBorder="1"/>
    <xf numFmtId="0" fontId="6" fillId="0" borderId="0" xfId="0" applyFont="1" applyFill="1" applyBorder="1"/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9" fillId="0" borderId="0" xfId="0" applyFont="1" applyFill="1" applyBorder="1" applyAlignment="1">
      <alignment vertical="center"/>
    </xf>
    <xf numFmtId="0" fontId="10" fillId="0" borderId="1" xfId="0" applyFont="1" applyFill="1" applyBorder="1"/>
    <xf numFmtId="0" fontId="3" fillId="0" borderId="7" xfId="0" applyFont="1" applyFill="1" applyBorder="1" applyAlignment="1">
      <alignment horizontal="center"/>
    </xf>
    <xf numFmtId="0" fontId="0" fillId="3" borderId="0" xfId="0" applyFill="1"/>
    <xf numFmtId="0" fontId="7" fillId="3" borderId="0" xfId="0" applyFont="1" applyFill="1" applyBorder="1"/>
    <xf numFmtId="0" fontId="7" fillId="3" borderId="0" xfId="4" applyFont="1" applyFill="1" applyBorder="1"/>
    <xf numFmtId="0" fontId="0" fillId="3" borderId="0" xfId="0" applyFill="1" applyBorder="1"/>
    <xf numFmtId="0" fontId="7" fillId="3" borderId="0" xfId="4" applyFont="1" applyFill="1" applyBorder="1" applyAlignment="1">
      <alignment vertical="center"/>
    </xf>
    <xf numFmtId="0" fontId="11" fillId="0" borderId="7" xfId="0" applyFont="1" applyFill="1" applyBorder="1" applyAlignment="1">
      <alignment horizontal="left"/>
    </xf>
    <xf numFmtId="0" fontId="11" fillId="0" borderId="0" xfId="0" applyFont="1" applyFill="1"/>
    <xf numFmtId="0" fontId="0" fillId="0" borderId="12" xfId="0" applyFont="1" applyFill="1" applyBorder="1"/>
    <xf numFmtId="0" fontId="0" fillId="4" borderId="0" xfId="0" applyFill="1"/>
    <xf numFmtId="0" fontId="0" fillId="4" borderId="0" xfId="0" applyFont="1" applyFill="1"/>
    <xf numFmtId="0" fontId="7" fillId="4" borderId="0" xfId="0" applyFont="1" applyFill="1" applyBorder="1" applyAlignment="1">
      <alignment horizontal="left" vertical="center"/>
    </xf>
    <xf numFmtId="0" fontId="0" fillId="0" borderId="7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" xfId="0" applyFill="1" applyBorder="1"/>
    <xf numFmtId="0" fontId="2" fillId="0" borderId="0" xfId="4" applyFill="1" applyBorder="1"/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4" fillId="5" borderId="0" xfId="0" applyFont="1" applyFill="1" applyAlignment="1"/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4" fillId="0" borderId="0" xfId="0" applyFont="1" applyFill="1" applyAlignment="1"/>
    <xf numFmtId="0" fontId="11" fillId="0" borderId="7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4" fillId="5" borderId="0" xfId="0" applyFont="1" applyFill="1" applyBorder="1" applyAlignment="1">
      <alignment horizontal="center"/>
    </xf>
  </cellXfs>
  <cellStyles count="7">
    <cellStyle name="Comma 2" xfId="2" xr:uid="{D1AF6270-453B-4A74-8E24-C14086D00845}"/>
    <cellStyle name="Comma 2 2" xfId="5" xr:uid="{C345E1FA-3E46-4C84-93C6-4C658D2A97E6}"/>
    <cellStyle name="Comma 3" xfId="3" xr:uid="{62814F27-9EDB-4FAE-8BAA-4854C728FAC8}"/>
    <cellStyle name="Comma 3 2" xfId="6" xr:uid="{2386F168-48DE-4961-B918-A56C9FA352B5}"/>
    <cellStyle name="Good" xfId="4" builtinId="26"/>
    <cellStyle name="Normal" xfId="0" builtinId="0"/>
    <cellStyle name="Normal 2" xfId="1" xr:uid="{B368D86E-520C-4D0F-A915-920A6C10AEFE}"/>
  </cellStyles>
  <dxfs count="103"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  <alignment horizontal="left"/>
    </dxf>
    <dxf>
      <fill>
        <patternFill patternType="solid">
          <fgColor indexed="64"/>
          <bgColor rgb="FF00B05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/>
        </left>
        <right/>
        <top style="thin">
          <color theme="8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/>
        </left>
        <right/>
        <top style="thin">
          <color theme="8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/>
        </left>
        <right/>
        <top style="thin">
          <color theme="8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/>
        </left>
        <right/>
        <top style="thin">
          <color theme="8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8"/>
        </left>
        <right/>
        <top style="thin">
          <color theme="8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8A3B0C-D8AC-4126-BB5B-51AAA0A4432B}" name="Table6698" displayName="Table6698" ref="A1:T93" totalsRowShown="0" headerRowDxfId="102" dataDxfId="101" headerRowBorderDxfId="99" tableBorderDxfId="100" totalsRowBorderDxfId="98">
  <autoFilter ref="A1:T93" xr:uid="{5CAF6899-50E7-4A94-933C-139C48358CE7}"/>
  <tableColumns count="20">
    <tableColumn id="1" xr3:uid="{82FE6CE5-12F7-4621-AD5B-1BFDDDBE2283}" name="Category" dataDxfId="97"/>
    <tableColumn id="2" xr3:uid="{72D2C688-E982-442C-814D-98B27F283A43}" name="Group" dataDxfId="96"/>
    <tableColumn id="3" xr3:uid="{20EA76A5-C598-4312-B8A9-14C09B18A166}" name="Label" dataDxfId="95"/>
    <tableColumn id="6" xr3:uid="{A51C3014-BDEF-4028-9927-18641853F2BB}" name="Subgroup1EntryID" dataDxfId="94"/>
    <tableColumn id="5" xr3:uid="{81F5BC3F-39CB-49DE-9C9E-70A604ED908B}" name="Subgroup1Label" dataDxfId="93"/>
    <tableColumn id="8" xr3:uid="{0D3515BE-A8F6-457C-B697-30B3CD05CA76}" name="Subgroup2EntryID" dataDxfId="92"/>
    <tableColumn id="7" xr3:uid="{A82F8FED-F0C4-482C-8EC3-5B39AB7157DA}" name="Subgroup2Label" dataDxfId="91"/>
    <tableColumn id="10" xr3:uid="{97E2972F-2A95-4853-94E1-980B9F2F5C15}" name="Subgroup3EntryID" dataDxfId="90"/>
    <tableColumn id="9" xr3:uid="{55394022-1E03-4100-B160-DCC703380918}" name="Subgroup3Label" dataDxfId="89"/>
    <tableColumn id="12" xr3:uid="{686AD615-70EA-4FD8-99A6-9023772A37C0}" name="Subgroup4EntryID" dataDxfId="88"/>
    <tableColumn id="11" xr3:uid="{CD435D34-67C9-411B-99D9-42BCBEDC9EBB}" name="Subgroup4Label" dataDxfId="87"/>
    <tableColumn id="14" xr3:uid="{C68E796E-770E-4085-B37B-EF914005E22A}" name="Subgroup5EntryID" dataDxfId="86"/>
    <tableColumn id="13" xr3:uid="{ABDBD1DE-6B70-4CA6-8BAA-47D657CB91A8}" name="Subgroup5Label" dataDxfId="85"/>
    <tableColumn id="16" xr3:uid="{FE5AEDBD-8CDD-43A8-9D3D-DA4E61CC0767}" name="Subgroup6EntryID" dataDxfId="84"/>
    <tableColumn id="15" xr3:uid="{1E896A21-4D83-46B9-8D7F-5640F0BDE791}" name="Subgroup6Label" dataDxfId="83"/>
    <tableColumn id="18" xr3:uid="{04149C1B-8D8B-4E19-8A2D-D29ACB259E32}" name="Subgroup7EntryID" dataDxfId="82"/>
    <tableColumn id="17" xr3:uid="{3D14E346-92F8-460F-A087-E95732C7981A}" name="Subgroup7Label" dataDxfId="81"/>
    <tableColumn id="20" xr3:uid="{E67BCFB8-C5A0-4BE9-90BB-32ADA4FD9C4C}" name="Subgroup8EntryID" dataDxfId="80"/>
    <tableColumn id="19" xr3:uid="{28000C67-77B7-4147-B57F-EEFF0CEE2AB8}" name="Subgroup8Label" dataDxfId="79"/>
    <tableColumn id="4" xr3:uid="{14176030-50FB-418E-AA2D-8B1152CB5ADE}" name="Column1" dataDxfId="7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A7E473-C1E9-4A2B-AB7E-8782F4E0F011}" name="ReportClient13" displayName="ReportClient13" ref="AF4:AI179" totalsRowShown="0" headerRowDxfId="77" dataDxfId="76">
  <autoFilter ref="AF4:AI179" xr:uid="{8578C662-0302-4AFA-BB44-19FEEF183A0C}"/>
  <tableColumns count="4">
    <tableColumn id="1" xr3:uid="{C98ACBFE-F066-4946-AD00-C431338C37CD}" name="Ref" dataDxfId="75"/>
    <tableColumn id="2" xr3:uid="{57BFB808-2E0D-47A2-9DB2-3909F1ED8AE6}" name="Title" dataDxfId="74"/>
    <tableColumn id="3" xr3:uid="{2645FF79-4E32-4259-ABAE-16C85B7E1D85}" name="FormulaID" dataDxfId="73"/>
    <tableColumn id="4" xr3:uid="{23EF0AFE-9E44-4F50-977D-ACC6DD006461}" name="Parent" dataDxfId="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BF6EE23-4967-4D5D-9974-863304D866B0}" name="ReportClient1620" displayName="ReportClient1620" ref="AK4:AN15" totalsRowShown="0" headerRowDxfId="71" dataDxfId="70">
  <autoFilter ref="AK4:AN15" xr:uid="{1A455CA2-173E-4FDC-8BEC-761B13D37089}"/>
  <tableColumns count="4">
    <tableColumn id="1" xr3:uid="{1AC10045-E3F7-4AA6-82B8-69240E97745E}" name="Ref" dataDxfId="69"/>
    <tableColumn id="2" xr3:uid="{6D2A143F-1900-4972-BA71-603F2135D8B9}" name="Title" dataDxfId="68"/>
    <tableColumn id="3" xr3:uid="{FC0B61C2-B37C-488B-B4CD-F5A34F1455D9}" name="FormulaID" dataDxfId="67"/>
    <tableColumn id="4" xr3:uid="{CC2ADEE0-A0B4-41DB-AED1-4D7A4F2E4EB0}" name="Parent" dataDxfId="6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1C09AC-04D4-47FC-BCA3-FE8195E6F976}" name="ReportClient162018" displayName="ReportClient162018" ref="AP4:AS28" totalsRowShown="0" headerRowDxfId="65" dataDxfId="64">
  <autoFilter ref="AP4:AS28" xr:uid="{C9D52435-A66C-48B1-B5A3-F9550D712017}"/>
  <tableColumns count="4">
    <tableColumn id="1" xr3:uid="{F7BB2121-A66F-4FED-8786-CDC8952EA81C}" name="Ref" dataDxfId="63"/>
    <tableColumn id="2" xr3:uid="{F2F01A1E-99D0-4DDC-BC46-6D936607806B}" name="Title" dataDxfId="62"/>
    <tableColumn id="3" xr3:uid="{F0E94EF5-75CE-4C02-AF6C-179E3A618A99}" name="FormulaID" dataDxfId="61"/>
    <tableColumn id="4" xr3:uid="{BAE0B1BD-BD47-4065-BBC0-23A514F00C86}" name="Parent" dataDxfId="60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05F2694-22C7-4E2F-87C7-97F15D916B46}" name="ReportClient16201819" displayName="ReportClient16201819" ref="AU4:AX43" totalsRowShown="0" headerRowDxfId="59" dataDxfId="58">
  <autoFilter ref="AU4:AX43" xr:uid="{D472B870-D1D4-4D39-830B-436AA76606EF}"/>
  <tableColumns count="4">
    <tableColumn id="1" xr3:uid="{D1F56FB1-057B-4AE0-AE22-2BB6FCD264F7}" name="Ref" dataDxfId="57"/>
    <tableColumn id="2" xr3:uid="{835DF3EE-827D-4374-B072-759AA326B3B2}" name="Title" dataDxfId="56"/>
    <tableColumn id="3" xr3:uid="{F6C8666A-9DA4-4A9D-87D8-0C40B0213FD4}" name="FormulaID" dataDxfId="55"/>
    <tableColumn id="4" xr3:uid="{69711078-E244-4200-8435-8F4FA58B0852}" name="Parent" dataDxfId="54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0E114DC-730E-4EB4-9B9D-42597F5F0CB8}" name="ReportClient16201822" displayName="ReportClient16201822" ref="AZ4:BC36" totalsRowShown="0" headerRowDxfId="53" dataDxfId="52">
  <autoFilter ref="AZ4:BC36" xr:uid="{0DA94E17-C562-4902-B026-39AC6BE4DFA3}"/>
  <tableColumns count="4">
    <tableColumn id="1" xr3:uid="{28DFE1D9-5F3D-4C93-A4F0-D36771E9C7E8}" name="Ref" dataDxfId="51"/>
    <tableColumn id="2" xr3:uid="{BA4809F7-EA2F-4C71-950F-93E02093E85D}" name="Title" dataDxfId="50"/>
    <tableColumn id="3" xr3:uid="{6FCB314C-A29F-4DB2-98DC-400581DE5206}" name="FormulaID" dataDxfId="49"/>
    <tableColumn id="4" xr3:uid="{5BC8E4E1-1B27-42E6-8970-260DF22D5412}" name="Parent" dataDxfId="48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D2D05FD-E8D4-4BEC-AAD2-D92374B4983D}" name="ReportClient16201823" displayName="ReportClient16201823" ref="BE4:BH136" totalsRowShown="0" headerRowDxfId="47" dataDxfId="46">
  <autoFilter ref="BE4:BH136" xr:uid="{E21C5EA6-0DDB-4402-8E4A-3C67F5C31DF3}"/>
  <tableColumns count="4">
    <tableColumn id="1" xr3:uid="{728F6101-E168-4AC7-9655-E965340AB5A6}" name="Ref" dataDxfId="45"/>
    <tableColumn id="2" xr3:uid="{676B9BB0-6F4C-4E55-A055-C0B8F275C885}" name="Title" dataDxfId="44"/>
    <tableColumn id="3" xr3:uid="{90A7598A-2514-47E0-ADBE-E79D9F6E2CA2}" name="FormulaID" dataDxfId="43"/>
    <tableColumn id="4" xr3:uid="{AABE01BF-D461-411E-B50D-420D777CCE7C}" name="Parent" dataDxfId="42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EB1031-44EE-4D60-A71D-49B5D4A63571}" name="Table4" displayName="Table4" ref="U4:Z15" totalsRowShown="0">
  <autoFilter ref="U4:Z15" xr:uid="{06F231F0-4EEE-4C0F-B500-63D8D5C468B0}"/>
  <tableColumns count="6">
    <tableColumn id="1" xr3:uid="{6C8DABAB-8DE7-4927-9975-01602E5FF4BA}" name="X Axis"/>
    <tableColumn id="2" xr3:uid="{29482576-7EE2-47EF-84BE-67BBE0127908}" name="Stakeholders" dataDxfId="41"/>
    <tableColumn id="3" xr3:uid="{302079B7-2A13-4AE7-9594-AB8A51C610AD}" name="Service Delivery" dataDxfId="40"/>
    <tableColumn id="4" xr3:uid="{8254F279-8A4F-4D41-B7F5-8A4C2453E768}" name="Mngt &amp; Governance" dataDxfId="39"/>
    <tableColumn id="5" xr3:uid="{7B017B25-FD03-415B-B3C2-2E3389BAAF03}" name="People &amp; Culture" dataDxfId="38"/>
    <tableColumn id="6" xr3:uid="{91ECC1E2-EC4B-4A0E-95B9-CB87D950D672}" name="Financial Mngt" dataDxfId="3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BB73EB1-EB5B-46A9-8C53-8924A3ABDD75}" name="Table425" displayName="Table425" ref="U18:X29" totalsRowShown="0">
  <autoFilter ref="U18:X29" xr:uid="{09FECCE3-16AF-4C07-B8CA-06DB49F7E21C}"/>
  <tableColumns count="4">
    <tableColumn id="1" xr3:uid="{132130EB-B2DA-4EDE-A680-B76BABB55781}" name="X Axis"/>
    <tableColumn id="2" xr3:uid="{643F2B23-B6ED-40FA-87D1-9E6CC5328149}" name="No. of license holders" dataDxfId="36"/>
    <tableColumn id="3" xr3:uid="{7B5A9F78-20D3-4696-AE94-390B22CC7DE8}" name="No. of boats registered" dataDxfId="35"/>
    <tableColumn id="4" xr3:uid="{CF04B060-FE05-4140-A888-55F3E93ECED2}" name="No. of moorings registered" dataDxfId="3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50C2873-B00A-4F2C-95BF-A0250684B6CD}" name="Table42526" displayName="Table42526" ref="U32:Y43" totalsRowShown="0">
  <autoFilter ref="U32:Y43" xr:uid="{8538C798-1ABE-4BDA-B199-AB95939E47B8}"/>
  <tableColumns count="5">
    <tableColumn id="1" xr3:uid="{DA9C3FCD-9072-48E2-8323-B82A64474494}" name="X Axis"/>
    <tableColumn id="2" xr3:uid="{638DB37B-0AFC-4FEC-94F3-7595D7C9E02E}" name="All boats" dataDxfId="33"/>
    <tableColumn id="3" xr3:uid="{DF449FDE-274A-44BF-A3C4-09FF310056BB}" name="Glass" dataDxfId="32"/>
    <tableColumn id="4" xr3:uid="{C5028A69-F1DB-42CA-9A20-6FCF63018AC3}" name="Alloy" dataDxfId="31"/>
    <tableColumn id="5" xr3:uid="{A79B884F-500B-41E0-86D5-CDB123633F93}" name="Other" dataDxfId="3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D6F2744-9AFF-4DFC-BAD0-4BBBE7FD2C0F}" name="Table4252627" displayName="Table4252627" ref="U46:AC57" totalsRowShown="0">
  <autoFilter ref="U46:AC57" xr:uid="{ABC0EB5A-68EC-4F5C-AE91-EBE39611E723}"/>
  <tableColumns count="9">
    <tableColumn id="1" xr3:uid="{98F1F283-AD60-4382-816C-23E93A6A1579}" name="X Axis"/>
    <tableColumn id="2" xr3:uid="{4ED56790-BEB3-49CA-92C8-64A65CCFFDA8}" name="% Licenses in North" dataDxfId="29"/>
    <tableColumn id="3" xr3:uid="{D94C9D55-207D-4EF7-B0CE-C9A8B999BB53}" name="% Boats in North" dataDxfId="28"/>
    <tableColumn id="4" xr3:uid="{71F259EC-6E87-440F-81FB-68A5A8B0DE2A}" name="% Licenses in East" dataDxfId="27"/>
    <tableColumn id="5" xr3:uid="{C714E0A4-2EF5-4133-82FA-D59AEC125A12}" name="% Boats in East" dataDxfId="26"/>
    <tableColumn id="7" xr3:uid="{68C792C4-EF74-47D6-9AAA-115B4E7E4048}" name="% Licenses in South" dataDxfId="25"/>
    <tableColumn id="8" xr3:uid="{E90A0FDF-D5D6-4116-90E1-04D0D4E4841F}" name="% Boats in South" dataDxfId="24"/>
    <tableColumn id="9" xr3:uid="{4C70754F-A023-4A19-BF60-80B2CFB2F2CB}" name="% Licenses in NW" dataDxfId="23"/>
    <tableColumn id="10" xr3:uid="{656584FF-9DC2-4FFD-959C-C98C05847CE7}" name="% Boats in NW" dataDxfId="2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5A098F9-7C79-41BC-945E-63DE390BEC28}" name="Table4252628" displayName="Table4252628" ref="U60:Y71" totalsRowShown="0">
  <autoFilter ref="U60:Y71" xr:uid="{84E4E56A-60AB-4309-904B-300670FF4D78}"/>
  <tableColumns count="5">
    <tableColumn id="1" xr3:uid="{A0E56E17-F7DB-4A5E-9748-89A66138F2D1}" name="X Axis"/>
    <tableColumn id="2" xr3:uid="{7CE71895-7901-4B65-8B68-BE7AC07A6D41}" name="Total No. schools visited" dataDxfId="21"/>
    <tableColumn id="3" xr3:uid="{5CED3BEC-F710-4204-8AFC-B4F5D88A8746}" name="Target No. schools visited" dataDxfId="20"/>
    <tableColumn id="4" xr3:uid="{364C7851-41B5-4FE7-B83A-0182BD70684C}" name="Total No. students engaged" dataDxfId="19"/>
    <tableColumn id="5" xr3:uid="{594C7319-3D05-43AE-8DD6-2CF22C97B86A}" name="Target No. students engaged" dataDxfId="1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8CDE8C2-9714-4121-854B-5165E156A9CE}" name="Table425262829" displayName="Table425262829" ref="U74:X85" totalsRowShown="0">
  <autoFilter ref="U74:X85" xr:uid="{DF01B05C-F3DC-4E31-9F9A-90FD77424671}"/>
  <tableColumns count="4">
    <tableColumn id="1" xr3:uid="{692ACA5A-1E1D-472A-AEDB-C3D1632449BF}" name="X Axis"/>
    <tableColumn id="2" xr3:uid="{10C09047-4472-402C-B829-FAFAC0DA9673}" name="No. website visits" dataDxfId="17"/>
    <tableColumn id="3" xr3:uid="{5D285C8D-F300-4FEF-9A45-A346093296F3}" name="No. phone calls" dataDxfId="16"/>
    <tableColumn id="4" xr3:uid="{E7C1F07E-3DBE-462F-AC19-DAB24755BC61}" name="No. social media followers" dataDxfId="1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BB39AC-F166-4E2F-96EE-1786690B1CF4}" name="Table4252628292" displayName="Table4252628292" ref="U88:W99" totalsRowShown="0">
  <autoFilter ref="U88:W99" xr:uid="{95C23770-9088-4F98-9D72-2153C023FA0A}"/>
  <tableColumns count="3">
    <tableColumn id="1" xr3:uid="{3E9D4E83-92E8-40BC-8369-26B09CCE6B3F}" name="X Axis"/>
    <tableColumn id="2" xr3:uid="{8362E64F-A347-428E-AE6A-3221142C8E4B}" name="Inspections per 1,000 boats" dataDxfId="14"/>
    <tableColumn id="3" xr3:uid="{4FC8621C-A572-40B1-8C4B-60D67BE9BCC3}" name="Incidents per 1,000 boats" dataDxfId="1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1401D1-8978-4508-A4E0-1469B1FDC3AD}" name="Table42526282923" displayName="Table42526282923" ref="U102:W113" totalsRowShown="0">
  <autoFilter ref="U102:W113" xr:uid="{A3088887-38BE-4441-81C2-92BAA246D88B}"/>
  <tableColumns count="3">
    <tableColumn id="1" xr3:uid="{92B3CC06-E802-43D4-B42B-37A90A285575}" name="X Axis"/>
    <tableColumn id="2" xr3:uid="{B1982778-B5E8-4FBB-BE61-F0668E2D7C9B}" name="Income variance analysis (% Var. budget)" dataDxfId="12"/>
    <tableColumn id="3" xr3:uid="{5FB79B6F-BC00-475F-8DA9-3CEBBA05CF76}" name="Expenditure variance (% Var. budget)" dataDxfId="1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79E9EF-CCEE-4EB9-830D-DF0348CFC259}" name="Table425262829234" displayName="Table425262829234" ref="U116:W127" totalsRowShown="0">
  <autoFilter ref="U116:W127" xr:uid="{3AEA4BDB-54F2-4C01-960C-AA166B7EFAE6}"/>
  <tableColumns count="3">
    <tableColumn id="1" xr3:uid="{97932C07-31FA-4D7E-896F-814BC67C22FA}" name="X Axis"/>
    <tableColumn id="2" xr3:uid="{7A8286A1-59E6-47EE-8437-6503C038C548}" name="Current ratio" dataDxfId="10"/>
    <tableColumn id="3" xr3:uid="{A4D355C3-DF25-4180-8262-A85A11141C29}" name="MAST Min. comfort threshold" dataDxfId="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A52E05-B80F-46C1-A05D-06D37442001C}" name="Table42526282923456" displayName="Table42526282923456" ref="U145:Y156" totalsRowShown="0">
  <autoFilter ref="U145:Y156" xr:uid="{9E3DC030-7975-4EE5-888B-0E1495FD507D}"/>
  <tableColumns count="5">
    <tableColumn id="1" xr3:uid="{4A51E063-6AE0-40AC-BD53-33AE6F923C05}" name="X Axis"/>
    <tableColumn id="2" xr3:uid="{7B14552B-4050-47F7-85A7-E2C659E26423}" name="No. of FTE" dataDxfId="8"/>
    <tableColumn id="3" xr3:uid="{829E06B8-01F4-4C64-BE39-ACD53551E509}" name="Ave. age" dataDxfId="7"/>
    <tableColumn id="4" xr3:uid="{B828F6D4-34DD-43AB-8876-10E681420652}" name="Ave. tenure" dataDxfId="6"/>
    <tableColumn id="5" xr3:uid="{B08E03BC-F97B-416A-9370-5ADDD586D054}" name="No. WHS incidents" dataDxfId="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08ED19-F241-4CE0-AF00-3769DCEA5D3B}" name="Table425262829234567" displayName="Table425262829234567" ref="U159:X170" totalsRowShown="0">
  <autoFilter ref="U159:X170" xr:uid="{844D8351-7EF1-4260-BEAB-41AC99502788}"/>
  <tableColumns count="4">
    <tableColumn id="1" xr3:uid="{0B92C00F-EEDA-488E-B311-9B6A22A3D51C}" name="X Axis"/>
    <tableColumn id="2" xr3:uid="{D9BB5DFC-43A7-4AEC-AEC1-31C42C624F9C}" name="Planned (rostered/worked) as % of capacity" dataDxfId="4"/>
    <tableColumn id="3" xr3:uid="{91341276-A473-4561-AF05-50091AB978EC}" name="Worked as % of planned" dataDxfId="3"/>
    <tableColumn id="4" xr3:uid="{431C81C6-07AA-42F3-916E-252F0FC5AA58}" name="OT &amp; TOIL hours worked as % of planned" dataDxfId="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36D244-3578-41D0-8318-7A7C5E5A154B}" name="Table4252628292345679" displayName="Table4252628292345679" ref="U173:V184" totalsRowShown="0">
  <autoFilter ref="U173:V184" xr:uid="{B6ECF3FE-0DD1-4893-A188-334121A57C35}"/>
  <tableColumns count="2">
    <tableColumn id="1" xr3:uid="{C1B82891-0552-43CF-B790-59CE39CB5739}" name="X Axis"/>
    <tableColumn id="2" xr3:uid="{630CBC06-9008-4E5B-8727-45F93450538D}" name="% of staff who completed " dataDxfId="1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124D31-4C6B-4A93-B4D3-B66A62A93EA3}" name="Table4252628292345" displayName="Table4252628292345" ref="U131:V142" totalsRowShown="0">
  <autoFilter ref="U131:V142" xr:uid="{D7B2E477-3CAE-48EC-84AE-D4295AC09294}"/>
  <tableColumns count="2">
    <tableColumn id="1" xr3:uid="{2D1D3DE1-5EEC-4579-B878-C7FF497534EF}" name="X Axis"/>
    <tableColumn id="10" xr3:uid="{C62250B4-1935-4329-B4FE-AEDB3FB31CD3}" name="% of complaints resolve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F493-012B-4222-8180-066F9F11AC13}">
  <dimension ref="A1:BH188"/>
  <sheetViews>
    <sheetView tabSelected="1" zoomScaleNormal="100" workbookViewId="0">
      <pane xSplit="3" ySplit="1" topLeftCell="AD2" activePane="bottomRight" state="frozen"/>
      <selection pane="bottomRight" activeCell="AL20" sqref="AL20"/>
      <selection pane="bottomLeft" activeCell="A2" sqref="A2"/>
      <selection pane="topRight" activeCell="D1" sqref="D1"/>
    </sheetView>
  </sheetViews>
  <sheetFormatPr defaultColWidth="8.85546875" defaultRowHeight="15"/>
  <cols>
    <col min="1" max="1" width="29.7109375" style="3" customWidth="1"/>
    <col min="2" max="2" width="30.42578125" style="3" customWidth="1"/>
    <col min="3" max="3" width="36.5703125" style="3" customWidth="1"/>
    <col min="4" max="4" width="11.28515625" style="3" customWidth="1"/>
    <col min="5" max="5" width="32.7109375" style="3" bestFit="1" customWidth="1"/>
    <col min="6" max="6" width="12" style="3" customWidth="1"/>
    <col min="7" max="7" width="40.85546875" style="3" bestFit="1" customWidth="1"/>
    <col min="8" max="8" width="26.5703125" style="3" bestFit="1" customWidth="1"/>
    <col min="9" max="9" width="22.7109375" style="3" bestFit="1" customWidth="1"/>
    <col min="10" max="10" width="15.28515625" style="3" customWidth="1"/>
    <col min="11" max="11" width="17.28515625" style="3" customWidth="1"/>
    <col min="12" max="12" width="11.85546875" style="3" customWidth="1"/>
    <col min="13" max="13" width="21.28515625" style="3" customWidth="1"/>
    <col min="14" max="14" width="11" style="3" customWidth="1"/>
    <col min="15" max="16" width="18.28515625" style="3" customWidth="1"/>
    <col min="17" max="17" width="25.28515625" style="3" bestFit="1" customWidth="1"/>
    <col min="18" max="18" width="11.5703125" style="3" customWidth="1"/>
    <col min="19" max="19" width="27.5703125" style="3" bestFit="1" customWidth="1"/>
    <col min="20" max="21" width="27.5703125" style="3" customWidth="1"/>
    <col min="22" max="22" width="16" style="3" customWidth="1"/>
    <col min="23" max="23" width="16.42578125" style="3" customWidth="1"/>
    <col min="24" max="24" width="19.42578125" style="3" customWidth="1"/>
    <col min="25" max="25" width="15.85546875" style="3" customWidth="1"/>
    <col min="26" max="29" width="17.42578125" style="3" customWidth="1"/>
    <col min="30" max="30" width="16.28515625" style="3" customWidth="1"/>
    <col min="31" max="32" width="8.85546875" style="3"/>
    <col min="33" max="33" width="50.28515625" style="3" customWidth="1"/>
    <col min="34" max="37" width="8.85546875" style="3"/>
    <col min="38" max="38" width="45.7109375" style="3" customWidth="1"/>
    <col min="39" max="42" width="8.85546875" style="3"/>
    <col min="43" max="43" width="36.5703125" style="3" customWidth="1"/>
    <col min="44" max="47" width="8.85546875" style="3"/>
    <col min="48" max="48" width="35.85546875" style="3" customWidth="1"/>
    <col min="49" max="52" width="8.85546875" style="3"/>
    <col min="53" max="53" width="43.7109375" style="3" customWidth="1"/>
    <col min="54" max="57" width="8.85546875" style="3"/>
    <col min="58" max="58" width="123.42578125" style="3" bestFit="1" customWidth="1"/>
    <col min="59" max="16384" width="8.85546875" style="3"/>
  </cols>
  <sheetData>
    <row r="1" spans="1:60">
      <c r="A1" s="7" t="s">
        <v>0</v>
      </c>
      <c r="B1" s="8" t="s">
        <v>1</v>
      </c>
      <c r="C1" s="8" t="s">
        <v>2</v>
      </c>
      <c r="D1" s="3" t="s">
        <v>3</v>
      </c>
      <c r="E1" s="8" t="s">
        <v>4</v>
      </c>
      <c r="F1" s="3" t="s">
        <v>5</v>
      </c>
      <c r="G1" s="8" t="s">
        <v>6</v>
      </c>
      <c r="H1" s="8" t="s">
        <v>7</v>
      </c>
      <c r="I1" s="8" t="s">
        <v>8</v>
      </c>
      <c r="J1" s="3" t="s">
        <v>9</v>
      </c>
      <c r="K1" s="8" t="s">
        <v>10</v>
      </c>
      <c r="L1" s="3" t="s">
        <v>11</v>
      </c>
      <c r="M1" s="8" t="s">
        <v>12</v>
      </c>
      <c r="N1" s="3" t="s">
        <v>13</v>
      </c>
      <c r="O1" s="8" t="s">
        <v>14</v>
      </c>
      <c r="P1" s="3" t="s">
        <v>15</v>
      </c>
      <c r="Q1" s="8" t="s">
        <v>16</v>
      </c>
      <c r="R1" s="3" t="s">
        <v>17</v>
      </c>
      <c r="S1" s="8" t="s">
        <v>18</v>
      </c>
      <c r="T1" s="8" t="s">
        <v>19</v>
      </c>
      <c r="U1" s="18"/>
      <c r="V1" s="18"/>
      <c r="W1" s="18"/>
      <c r="X1" s="18"/>
    </row>
    <row r="2" spans="1:60">
      <c r="A2" s="1" t="s">
        <v>20</v>
      </c>
      <c r="B2" s="2" t="s">
        <v>21</v>
      </c>
      <c r="C2" s="2" t="s">
        <v>22</v>
      </c>
      <c r="D2" s="2">
        <v>491</v>
      </c>
      <c r="E2" s="2" t="s">
        <v>23</v>
      </c>
      <c r="F2" s="2">
        <v>492</v>
      </c>
      <c r="G2" s="2" t="s">
        <v>24</v>
      </c>
      <c r="H2" s="2">
        <v>493</v>
      </c>
      <c r="I2" s="2" t="s">
        <v>25</v>
      </c>
      <c r="J2" s="2">
        <v>494</v>
      </c>
      <c r="K2" s="2" t="s">
        <v>26</v>
      </c>
      <c r="L2" s="2">
        <v>495</v>
      </c>
      <c r="M2" s="2" t="s">
        <v>27</v>
      </c>
      <c r="N2" s="2">
        <v>496</v>
      </c>
      <c r="O2" s="2" t="s">
        <v>28</v>
      </c>
      <c r="P2" s="2"/>
      <c r="Q2" s="2"/>
      <c r="R2" s="8"/>
      <c r="S2" s="8"/>
      <c r="T2" s="8"/>
      <c r="U2" s="18"/>
      <c r="V2" s="18"/>
      <c r="W2" s="18"/>
      <c r="X2" s="18"/>
    </row>
    <row r="3" spans="1:60">
      <c r="A3" s="1" t="s">
        <v>20</v>
      </c>
      <c r="B3" s="2" t="s">
        <v>21</v>
      </c>
      <c r="C3" s="2" t="s">
        <v>29</v>
      </c>
      <c r="D3" s="2">
        <v>497</v>
      </c>
      <c r="E3" s="2" t="s">
        <v>30</v>
      </c>
      <c r="F3" s="2">
        <v>498</v>
      </c>
      <c r="G3" s="2" t="s">
        <v>31</v>
      </c>
      <c r="H3" s="2">
        <v>499</v>
      </c>
      <c r="I3" s="2" t="s">
        <v>32</v>
      </c>
      <c r="J3" s="2">
        <v>500</v>
      </c>
      <c r="K3" s="2" t="s">
        <v>33</v>
      </c>
      <c r="L3" s="2">
        <v>501</v>
      </c>
      <c r="M3" s="2" t="s">
        <v>34</v>
      </c>
      <c r="N3" s="2">
        <v>502</v>
      </c>
      <c r="O3" s="2" t="s">
        <v>35</v>
      </c>
      <c r="P3" s="2">
        <v>503</v>
      </c>
      <c r="Q3" s="2" t="s">
        <v>36</v>
      </c>
      <c r="R3" s="2">
        <v>504</v>
      </c>
      <c r="S3" s="2" t="s">
        <v>37</v>
      </c>
      <c r="T3" s="2"/>
      <c r="U3" s="65" t="s">
        <v>38</v>
      </c>
      <c r="V3" s="65"/>
      <c r="W3" s="65"/>
      <c r="X3" s="65"/>
      <c r="Y3" s="65"/>
      <c r="AF3" s="67" t="s">
        <v>39</v>
      </c>
      <c r="AG3" s="67"/>
      <c r="AH3" s="67"/>
      <c r="AI3" s="67"/>
      <c r="AK3" s="67" t="s">
        <v>40</v>
      </c>
      <c r="AL3" s="67"/>
      <c r="AM3" s="67"/>
      <c r="AN3" s="67"/>
      <c r="AP3" s="67" t="s">
        <v>41</v>
      </c>
      <c r="AQ3" s="67"/>
      <c r="AR3" s="67"/>
      <c r="AS3" s="67"/>
      <c r="AU3" s="67" t="s">
        <v>42</v>
      </c>
      <c r="AV3" s="67"/>
      <c r="AW3" s="67"/>
      <c r="AX3" s="67"/>
      <c r="AZ3" s="67" t="s">
        <v>43</v>
      </c>
      <c r="BA3" s="67"/>
      <c r="BB3" s="67"/>
      <c r="BC3" s="67"/>
      <c r="BE3" s="67" t="s">
        <v>44</v>
      </c>
      <c r="BF3" s="67"/>
      <c r="BG3" s="67"/>
      <c r="BH3" s="67"/>
    </row>
    <row r="4" spans="1:60">
      <c r="A4" s="1" t="s">
        <v>20</v>
      </c>
      <c r="B4" s="2" t="s">
        <v>45</v>
      </c>
      <c r="C4" s="2" t="s">
        <v>46</v>
      </c>
      <c r="D4" s="2">
        <v>505</v>
      </c>
      <c r="E4" s="2" t="s">
        <v>47</v>
      </c>
      <c r="F4" s="2">
        <v>506</v>
      </c>
      <c r="G4" s="2" t="s">
        <v>48</v>
      </c>
      <c r="H4" s="2">
        <v>507</v>
      </c>
      <c r="I4" s="2" t="s">
        <v>49</v>
      </c>
      <c r="J4" s="2">
        <v>508</v>
      </c>
      <c r="K4" s="54" t="s">
        <v>50</v>
      </c>
      <c r="L4" s="2"/>
      <c r="M4" s="2"/>
      <c r="N4" s="2"/>
      <c r="O4" s="2"/>
      <c r="P4" s="2"/>
      <c r="Q4" s="2"/>
      <c r="R4" s="2"/>
      <c r="S4" s="2"/>
      <c r="T4" s="2"/>
      <c r="U4" t="s">
        <v>51</v>
      </c>
      <c r="V4" t="s">
        <v>52</v>
      </c>
      <c r="W4" t="s">
        <v>53</v>
      </c>
      <c r="X4" t="s">
        <v>54</v>
      </c>
      <c r="Y4" t="s">
        <v>55</v>
      </c>
      <c r="Z4" s="3" t="s">
        <v>56</v>
      </c>
      <c r="AF4" s="3" t="s">
        <v>57</v>
      </c>
      <c r="AG4" s="3" t="s">
        <v>58</v>
      </c>
      <c r="AH4" s="3" t="s">
        <v>59</v>
      </c>
      <c r="AI4" s="3" t="s">
        <v>60</v>
      </c>
      <c r="AK4" s="3" t="s">
        <v>57</v>
      </c>
      <c r="AL4" s="3" t="s">
        <v>58</v>
      </c>
      <c r="AM4" s="3" t="s">
        <v>59</v>
      </c>
      <c r="AN4" s="3" t="s">
        <v>60</v>
      </c>
      <c r="AP4" s="3" t="s">
        <v>57</v>
      </c>
      <c r="AQ4" s="3" t="s">
        <v>58</v>
      </c>
      <c r="AR4" s="3" t="s">
        <v>59</v>
      </c>
      <c r="AS4" s="3" t="s">
        <v>60</v>
      </c>
      <c r="AU4" s="3" t="s">
        <v>57</v>
      </c>
      <c r="AV4" s="3" t="s">
        <v>58</v>
      </c>
      <c r="AW4" s="3" t="s">
        <v>59</v>
      </c>
      <c r="AX4" s="3" t="s">
        <v>60</v>
      </c>
      <c r="AZ4" s="3" t="s">
        <v>57</v>
      </c>
      <c r="BA4" s="3" t="s">
        <v>58</v>
      </c>
      <c r="BB4" s="3" t="s">
        <v>59</v>
      </c>
      <c r="BC4" s="3" t="s">
        <v>60</v>
      </c>
      <c r="BE4" s="3" t="s">
        <v>57</v>
      </c>
      <c r="BF4" s="3" t="s">
        <v>58</v>
      </c>
      <c r="BG4" s="3" t="s">
        <v>59</v>
      </c>
      <c r="BH4" s="3" t="s">
        <v>60</v>
      </c>
    </row>
    <row r="5" spans="1:60">
      <c r="A5" s="1" t="s">
        <v>20</v>
      </c>
      <c r="B5" s="2" t="s">
        <v>45</v>
      </c>
      <c r="C5" s="2" t="s">
        <v>61</v>
      </c>
      <c r="D5" s="2">
        <v>509</v>
      </c>
      <c r="E5" s="2" t="str">
        <f t="shared" ref="E5:S5" si="0">E3</f>
        <v>Board</v>
      </c>
      <c r="F5" s="2">
        <v>510</v>
      </c>
      <c r="G5" s="2" t="str">
        <f t="shared" si="0"/>
        <v>Senior Mngt/Executive</v>
      </c>
      <c r="H5" s="2">
        <v>511</v>
      </c>
      <c r="I5" s="2" t="str">
        <f t="shared" si="0"/>
        <v>Administrative</v>
      </c>
      <c r="J5" s="2">
        <v>512</v>
      </c>
      <c r="K5" s="2" t="str">
        <f t="shared" si="0"/>
        <v>Recreational Boating</v>
      </c>
      <c r="L5" s="2">
        <v>513</v>
      </c>
      <c r="M5" s="2" t="str">
        <f t="shared" si="0"/>
        <v>Commercial Boating</v>
      </c>
      <c r="N5" s="2">
        <v>514</v>
      </c>
      <c r="O5" s="2" t="str">
        <f t="shared" si="0"/>
        <v>Infrastructure</v>
      </c>
      <c r="P5" s="2">
        <v>515</v>
      </c>
      <c r="Q5" s="2" t="str">
        <f t="shared" si="0"/>
        <v>Education</v>
      </c>
      <c r="R5" s="2">
        <v>516</v>
      </c>
      <c r="S5" s="2" t="str">
        <f t="shared" si="0"/>
        <v>Other</v>
      </c>
      <c r="T5" s="2"/>
      <c r="U5" t="s">
        <v>62</v>
      </c>
      <c r="V5" s="57">
        <v>596</v>
      </c>
      <c r="W5" s="57">
        <v>590</v>
      </c>
      <c r="X5" s="57">
        <v>597</v>
      </c>
      <c r="Y5" s="57">
        <v>598</v>
      </c>
      <c r="Z5" s="58">
        <v>595</v>
      </c>
      <c r="AA5" s="60"/>
      <c r="AB5" s="60"/>
      <c r="AC5" s="60"/>
      <c r="AF5" s="3" t="s">
        <v>63</v>
      </c>
      <c r="AG5" s="13" t="s">
        <v>33</v>
      </c>
      <c r="AK5" s="3" t="s">
        <v>63</v>
      </c>
      <c r="AL5" s="13" t="s">
        <v>64</v>
      </c>
      <c r="AP5" s="3" t="s">
        <v>63</v>
      </c>
      <c r="AQ5" s="13" t="s">
        <v>65</v>
      </c>
      <c r="AU5" s="3" t="s">
        <v>63</v>
      </c>
      <c r="AV5" s="13" t="s">
        <v>66</v>
      </c>
      <c r="AW5" s="3" t="s">
        <v>67</v>
      </c>
      <c r="AZ5" s="3" t="s">
        <v>63</v>
      </c>
      <c r="BA5" s="13" t="s">
        <v>68</v>
      </c>
      <c r="BB5" s="3" t="s">
        <v>67</v>
      </c>
      <c r="BE5" s="3" t="s">
        <v>63</v>
      </c>
      <c r="BF5" s="25" t="s">
        <v>69</v>
      </c>
      <c r="BG5" s="26" t="s">
        <v>67</v>
      </c>
    </row>
    <row r="6" spans="1:60">
      <c r="A6" s="1" t="s">
        <v>20</v>
      </c>
      <c r="B6" s="2" t="s">
        <v>55</v>
      </c>
      <c r="C6" s="2" t="s">
        <v>70</v>
      </c>
      <c r="D6" s="2">
        <v>517</v>
      </c>
      <c r="E6" s="2" t="s">
        <v>71</v>
      </c>
      <c r="F6" s="2">
        <v>518</v>
      </c>
      <c r="G6" s="2" t="s">
        <v>72</v>
      </c>
      <c r="H6" s="2">
        <v>519</v>
      </c>
      <c r="I6" s="2" t="s">
        <v>73</v>
      </c>
      <c r="J6" s="2">
        <v>520</v>
      </c>
      <c r="K6" s="2" t="s">
        <v>74</v>
      </c>
      <c r="L6" s="2"/>
      <c r="M6" s="2"/>
      <c r="N6" s="2"/>
      <c r="O6" s="2"/>
      <c r="P6" s="2"/>
      <c r="Q6" s="2"/>
      <c r="R6" s="2"/>
      <c r="S6" s="2"/>
      <c r="T6" s="2"/>
      <c r="U6" t="s">
        <v>75</v>
      </c>
      <c r="V6" s="56" t="s">
        <v>76</v>
      </c>
      <c r="W6" s="57" t="s">
        <v>77</v>
      </c>
      <c r="X6" s="57" t="s">
        <v>78</v>
      </c>
      <c r="Y6" s="57" t="s">
        <v>79</v>
      </c>
      <c r="Z6" s="58" t="s">
        <v>80</v>
      </c>
      <c r="AA6" s="60"/>
      <c r="AB6" s="60"/>
      <c r="AC6" s="60"/>
      <c r="AF6" s="3" t="s">
        <v>81</v>
      </c>
      <c r="AG6" s="13" t="s">
        <v>82</v>
      </c>
      <c r="AI6" s="13" t="s">
        <v>63</v>
      </c>
      <c r="AK6" s="3" t="s">
        <v>81</v>
      </c>
      <c r="AL6" s="18" t="s">
        <v>83</v>
      </c>
      <c r="AM6" s="3">
        <v>503</v>
      </c>
      <c r="AN6" s="3" t="s">
        <v>63</v>
      </c>
      <c r="AP6" s="3" t="s">
        <v>81</v>
      </c>
      <c r="AQ6" s="3" t="s">
        <v>84</v>
      </c>
      <c r="AR6" s="27">
        <v>513</v>
      </c>
      <c r="AS6" s="3" t="s">
        <v>63</v>
      </c>
      <c r="AU6" s="3" t="s">
        <v>81</v>
      </c>
      <c r="AV6" s="13" t="s">
        <v>85</v>
      </c>
      <c r="AW6" s="27"/>
      <c r="AX6" s="3" t="s">
        <v>63</v>
      </c>
      <c r="AZ6" s="3" t="s">
        <v>81</v>
      </c>
      <c r="BA6" s="13" t="s">
        <v>86</v>
      </c>
      <c r="BB6" s="27"/>
      <c r="BC6" s="3" t="s">
        <v>63</v>
      </c>
      <c r="BE6" s="3" t="s">
        <v>81</v>
      </c>
      <c r="BF6" s="19" t="s">
        <v>87</v>
      </c>
      <c r="BG6" s="18">
        <v>503</v>
      </c>
      <c r="BH6" s="3" t="s">
        <v>63</v>
      </c>
    </row>
    <row r="7" spans="1:60">
      <c r="A7" s="4" t="s">
        <v>20</v>
      </c>
      <c r="B7" s="5" t="s">
        <v>55</v>
      </c>
      <c r="C7" s="6" t="s">
        <v>88</v>
      </c>
      <c r="D7" s="6">
        <v>521</v>
      </c>
      <c r="E7" s="5" t="str">
        <f>E3</f>
        <v>Board</v>
      </c>
      <c r="F7" s="5">
        <v>522</v>
      </c>
      <c r="G7" s="5" t="str">
        <f t="shared" ref="G7" si="1">G3</f>
        <v>Senior Mngt/Executive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t="s">
        <v>89</v>
      </c>
      <c r="V7" s="56" t="s">
        <v>90</v>
      </c>
      <c r="W7" s="57" t="s">
        <v>91</v>
      </c>
      <c r="X7" s="57" t="s">
        <v>92</v>
      </c>
      <c r="Y7" s="57" t="s">
        <v>93</v>
      </c>
      <c r="Z7" s="58" t="s">
        <v>94</v>
      </c>
      <c r="AA7" s="60"/>
      <c r="AB7" s="60"/>
      <c r="AC7" s="60"/>
      <c r="AF7" s="3" t="s">
        <v>95</v>
      </c>
      <c r="AG7" s="13" t="s">
        <v>96</v>
      </c>
      <c r="AI7" s="3" t="s">
        <v>81</v>
      </c>
      <c r="AK7" s="3" t="s">
        <v>95</v>
      </c>
      <c r="AL7" s="18" t="s">
        <v>97</v>
      </c>
      <c r="AM7" s="3">
        <v>504</v>
      </c>
      <c r="AN7" s="3" t="s">
        <v>63</v>
      </c>
      <c r="AP7" s="3" t="s">
        <v>95</v>
      </c>
      <c r="AQ7" s="40" t="s">
        <v>98</v>
      </c>
      <c r="AR7" s="26">
        <v>502</v>
      </c>
      <c r="AS7" s="3" t="s">
        <v>63</v>
      </c>
      <c r="AU7" s="3" t="s">
        <v>95</v>
      </c>
      <c r="AV7" s="3" t="s">
        <v>99</v>
      </c>
      <c r="AW7" s="3">
        <v>534</v>
      </c>
      <c r="AX7" s="3" t="s">
        <v>81</v>
      </c>
      <c r="AZ7" s="3" t="s">
        <v>95</v>
      </c>
      <c r="BA7" s="3" t="s">
        <v>100</v>
      </c>
      <c r="BB7" s="26">
        <v>566</v>
      </c>
      <c r="BC7" s="3" t="s">
        <v>81</v>
      </c>
      <c r="BE7" s="3" t="s">
        <v>95</v>
      </c>
      <c r="BF7" s="19" t="s">
        <v>101</v>
      </c>
      <c r="BG7" s="18">
        <v>504</v>
      </c>
      <c r="BH7" s="3" t="s">
        <v>63</v>
      </c>
    </row>
    <row r="8" spans="1:60">
      <c r="A8" s="1" t="s">
        <v>20</v>
      </c>
      <c r="B8" s="2" t="s">
        <v>102</v>
      </c>
      <c r="C8" s="2" t="s">
        <v>103</v>
      </c>
      <c r="D8" s="2">
        <v>529</v>
      </c>
      <c r="E8" s="2" t="s">
        <v>23</v>
      </c>
      <c r="F8" s="2">
        <v>530</v>
      </c>
      <c r="G8" s="2" t="s">
        <v>24</v>
      </c>
      <c r="H8" s="2">
        <v>531</v>
      </c>
      <c r="I8" s="2" t="s">
        <v>25</v>
      </c>
      <c r="J8" s="2">
        <v>532</v>
      </c>
      <c r="K8" s="2" t="s">
        <v>26</v>
      </c>
      <c r="L8" s="2"/>
      <c r="M8" s="2"/>
      <c r="N8" s="2"/>
      <c r="O8" s="2"/>
      <c r="P8" s="2"/>
      <c r="Q8" s="2"/>
      <c r="R8" s="2"/>
      <c r="S8" s="2"/>
      <c r="T8" s="2"/>
      <c r="U8" t="s">
        <v>104</v>
      </c>
      <c r="V8" s="56" t="s">
        <v>105</v>
      </c>
      <c r="W8" s="57" t="s">
        <v>106</v>
      </c>
      <c r="X8" s="57" t="s">
        <v>107</v>
      </c>
      <c r="Y8" s="57" t="s">
        <v>108</v>
      </c>
      <c r="Z8" s="58" t="s">
        <v>109</v>
      </c>
      <c r="AA8" s="60"/>
      <c r="AB8" s="60"/>
      <c r="AC8" s="60"/>
      <c r="AF8" s="3" t="s">
        <v>110</v>
      </c>
      <c r="AG8" s="3" t="s">
        <v>111</v>
      </c>
      <c r="AH8" s="3">
        <v>357</v>
      </c>
      <c r="AI8" s="3" t="s">
        <v>95</v>
      </c>
      <c r="AK8" s="3" t="s">
        <v>110</v>
      </c>
      <c r="AL8" s="18" t="s">
        <v>112</v>
      </c>
      <c r="AM8" s="3">
        <v>505</v>
      </c>
      <c r="AN8" s="3" t="s">
        <v>63</v>
      </c>
      <c r="AP8" s="3" t="s">
        <v>110</v>
      </c>
      <c r="AQ8" s="3" t="s">
        <v>113</v>
      </c>
      <c r="AR8" s="26">
        <v>514</v>
      </c>
      <c r="AS8" s="3" t="s">
        <v>63</v>
      </c>
      <c r="AU8" s="3" t="s">
        <v>110</v>
      </c>
      <c r="AV8" s="3" t="s">
        <v>114</v>
      </c>
      <c r="AW8" s="3">
        <v>535</v>
      </c>
      <c r="AX8" s="3" t="s">
        <v>81</v>
      </c>
      <c r="AZ8" s="3" t="s">
        <v>110</v>
      </c>
      <c r="BA8" s="3" t="s">
        <v>115</v>
      </c>
      <c r="BB8" s="26">
        <v>567</v>
      </c>
      <c r="BC8" s="3" t="s">
        <v>81</v>
      </c>
      <c r="BE8" s="3" t="s">
        <v>110</v>
      </c>
      <c r="BF8" s="19" t="s">
        <v>116</v>
      </c>
      <c r="BG8" s="18">
        <v>508</v>
      </c>
      <c r="BH8" s="3" t="s">
        <v>63</v>
      </c>
    </row>
    <row r="9" spans="1:60">
      <c r="A9" s="1" t="s">
        <v>20</v>
      </c>
      <c r="B9" s="2" t="s">
        <v>102</v>
      </c>
      <c r="C9" s="2" t="s">
        <v>117</v>
      </c>
      <c r="D9" s="2">
        <v>533</v>
      </c>
      <c r="E9" s="2" t="s">
        <v>118</v>
      </c>
      <c r="F9" s="2">
        <v>534</v>
      </c>
      <c r="G9" s="2" t="s">
        <v>33</v>
      </c>
      <c r="H9" s="2">
        <v>535</v>
      </c>
      <c r="I9" s="2" t="s">
        <v>119</v>
      </c>
      <c r="J9" s="2">
        <v>536</v>
      </c>
      <c r="K9" s="2" t="s">
        <v>120</v>
      </c>
      <c r="L9" s="2">
        <v>537</v>
      </c>
      <c r="M9" s="2" t="s">
        <v>121</v>
      </c>
      <c r="N9" s="2"/>
      <c r="O9" s="2"/>
      <c r="P9" s="2"/>
      <c r="Q9" s="2"/>
      <c r="R9" s="2"/>
      <c r="S9" s="2"/>
      <c r="T9" s="2"/>
      <c r="U9" t="s">
        <v>122</v>
      </c>
      <c r="V9" s="56" t="s">
        <v>123</v>
      </c>
      <c r="W9" s="57" t="s">
        <v>124</v>
      </c>
      <c r="X9" s="57" t="s">
        <v>125</v>
      </c>
      <c r="Y9" s="57" t="s">
        <v>126</v>
      </c>
      <c r="Z9" s="58" t="s">
        <v>127</v>
      </c>
      <c r="AA9" s="60"/>
      <c r="AB9" s="60"/>
      <c r="AC9" s="60"/>
      <c r="AF9" s="3" t="s">
        <v>128</v>
      </c>
      <c r="AG9" s="3" t="s">
        <v>129</v>
      </c>
      <c r="AH9" s="3">
        <v>358</v>
      </c>
      <c r="AI9" s="3" t="s">
        <v>95</v>
      </c>
      <c r="AK9" s="3" t="s">
        <v>128</v>
      </c>
      <c r="AL9" s="18" t="s">
        <v>130</v>
      </c>
      <c r="AM9" s="3">
        <v>506</v>
      </c>
      <c r="AN9" s="3" t="s">
        <v>63</v>
      </c>
      <c r="AP9" s="3" t="s">
        <v>128</v>
      </c>
      <c r="AQ9" s="3" t="s">
        <v>131</v>
      </c>
      <c r="AR9" s="26">
        <v>515</v>
      </c>
      <c r="AS9" s="3" t="s">
        <v>63</v>
      </c>
      <c r="AU9" s="3" t="s">
        <v>128</v>
      </c>
      <c r="AV9" s="3" t="s">
        <v>132</v>
      </c>
      <c r="AW9" s="3">
        <v>536</v>
      </c>
      <c r="AX9" s="3" t="s">
        <v>81</v>
      </c>
      <c r="AZ9" s="3" t="s">
        <v>128</v>
      </c>
      <c r="BA9" s="3" t="s">
        <v>133</v>
      </c>
      <c r="BB9" s="26">
        <v>568</v>
      </c>
      <c r="BC9" s="3" t="s">
        <v>81</v>
      </c>
      <c r="BE9" s="3" t="s">
        <v>128</v>
      </c>
      <c r="BF9" s="19" t="s">
        <v>134</v>
      </c>
      <c r="BG9" s="18">
        <v>510</v>
      </c>
      <c r="BH9" s="3" t="s">
        <v>63</v>
      </c>
    </row>
    <row r="10" spans="1:60">
      <c r="A10" s="4" t="s">
        <v>20</v>
      </c>
      <c r="B10" s="5" t="s">
        <v>102</v>
      </c>
      <c r="C10" s="5" t="s">
        <v>135</v>
      </c>
      <c r="D10" s="5">
        <v>538</v>
      </c>
      <c r="E10" s="5" t="s">
        <v>136</v>
      </c>
      <c r="F10" s="5">
        <v>539</v>
      </c>
      <c r="G10" s="5" t="s">
        <v>137</v>
      </c>
      <c r="H10" s="5">
        <v>540</v>
      </c>
      <c r="I10" s="5" t="s">
        <v>138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t="s">
        <v>139</v>
      </c>
      <c r="V10" s="56" t="s">
        <v>140</v>
      </c>
      <c r="W10" s="57" t="s">
        <v>141</v>
      </c>
      <c r="X10" s="57" t="s">
        <v>142</v>
      </c>
      <c r="Y10" s="57" t="s">
        <v>143</v>
      </c>
      <c r="Z10" s="58" t="s">
        <v>144</v>
      </c>
      <c r="AA10" s="60"/>
      <c r="AB10" s="60"/>
      <c r="AC10" s="60"/>
      <c r="AF10" s="3" t="s">
        <v>145</v>
      </c>
      <c r="AG10" s="3" t="s">
        <v>146</v>
      </c>
      <c r="AH10" s="3">
        <v>359</v>
      </c>
      <c r="AI10" s="3" t="s">
        <v>95</v>
      </c>
      <c r="AK10" s="3" t="s">
        <v>145</v>
      </c>
      <c r="AL10" s="18" t="s">
        <v>147</v>
      </c>
      <c r="AM10" s="3">
        <v>507</v>
      </c>
      <c r="AN10" s="3" t="s">
        <v>63</v>
      </c>
      <c r="AP10" s="3" t="s">
        <v>145</v>
      </c>
      <c r="AQ10" s="3" t="s">
        <v>148</v>
      </c>
      <c r="AR10" s="26">
        <v>516</v>
      </c>
      <c r="AS10" s="3" t="s">
        <v>63</v>
      </c>
      <c r="AU10" s="3" t="s">
        <v>145</v>
      </c>
      <c r="AV10" s="13" t="s">
        <v>149</v>
      </c>
      <c r="AW10" s="26"/>
      <c r="AX10" s="3" t="s">
        <v>63</v>
      </c>
      <c r="AZ10" s="3" t="s">
        <v>145</v>
      </c>
      <c r="BA10" s="3" t="s">
        <v>150</v>
      </c>
      <c r="BB10" s="26">
        <v>569</v>
      </c>
      <c r="BC10" s="3" t="s">
        <v>81</v>
      </c>
      <c r="BE10" s="3" t="s">
        <v>145</v>
      </c>
      <c r="BF10" s="29" t="s">
        <v>151</v>
      </c>
      <c r="BG10" s="18"/>
    </row>
    <row r="11" spans="1:60" ht="15.75">
      <c r="A11" s="1" t="s">
        <v>68</v>
      </c>
      <c r="B11" s="2" t="s">
        <v>152</v>
      </c>
      <c r="C11" s="2" t="s">
        <v>153</v>
      </c>
      <c r="D11" s="2">
        <v>541</v>
      </c>
      <c r="E11" s="2" t="s">
        <v>154</v>
      </c>
      <c r="F11" s="2">
        <v>542</v>
      </c>
      <c r="G11" s="2" t="s">
        <v>155</v>
      </c>
      <c r="H11" s="2">
        <v>543</v>
      </c>
      <c r="I11" s="2" t="s">
        <v>156</v>
      </c>
      <c r="J11" s="2">
        <v>544</v>
      </c>
      <c r="K11" s="2" t="s">
        <v>157</v>
      </c>
      <c r="L11" s="2">
        <v>545</v>
      </c>
      <c r="M11" s="2" t="s">
        <v>120</v>
      </c>
      <c r="N11" s="2">
        <v>546</v>
      </c>
      <c r="O11" s="2" t="s">
        <v>158</v>
      </c>
      <c r="P11" s="2">
        <v>547</v>
      </c>
      <c r="Q11" s="2" t="s">
        <v>159</v>
      </c>
      <c r="R11" s="2">
        <v>548</v>
      </c>
      <c r="S11" s="2" t="s">
        <v>160</v>
      </c>
      <c r="T11" s="2"/>
      <c r="U11" t="s">
        <v>161</v>
      </c>
      <c r="V11" s="56" t="s">
        <v>162</v>
      </c>
      <c r="W11" s="57" t="s">
        <v>163</v>
      </c>
      <c r="X11" s="57" t="s">
        <v>164</v>
      </c>
      <c r="Y11" s="57" t="s">
        <v>165</v>
      </c>
      <c r="Z11" s="58" t="s">
        <v>166</v>
      </c>
      <c r="AA11" s="60"/>
      <c r="AB11" s="60"/>
      <c r="AC11" s="60"/>
      <c r="AF11" s="3" t="s">
        <v>167</v>
      </c>
      <c r="AG11" s="3" t="s">
        <v>168</v>
      </c>
      <c r="AH11" s="3">
        <v>360</v>
      </c>
      <c r="AI11" s="3" t="s">
        <v>95</v>
      </c>
      <c r="AK11" s="3" t="s">
        <v>167</v>
      </c>
      <c r="AL11" s="18" t="s">
        <v>169</v>
      </c>
      <c r="AM11" s="3">
        <v>508</v>
      </c>
      <c r="AN11" s="3" t="s">
        <v>63</v>
      </c>
      <c r="AP11" s="3" t="s">
        <v>167</v>
      </c>
      <c r="AQ11" s="3" t="s">
        <v>170</v>
      </c>
      <c r="AR11" s="26">
        <v>517</v>
      </c>
      <c r="AS11" s="3" t="s">
        <v>63</v>
      </c>
      <c r="AU11" s="3" t="s">
        <v>167</v>
      </c>
      <c r="AV11" s="3" t="s">
        <v>171</v>
      </c>
      <c r="AW11" s="3">
        <v>537</v>
      </c>
      <c r="AX11" s="3" t="s">
        <v>145</v>
      </c>
      <c r="AZ11" s="3" t="s">
        <v>167</v>
      </c>
      <c r="BA11" s="3" t="s">
        <v>172</v>
      </c>
      <c r="BB11" s="26">
        <v>570</v>
      </c>
      <c r="BC11" s="3" t="s">
        <v>81</v>
      </c>
      <c r="BE11" s="3" t="s">
        <v>167</v>
      </c>
      <c r="BF11" s="30" t="s">
        <v>173</v>
      </c>
      <c r="BG11" s="18"/>
      <c r="BH11" s="3" t="s">
        <v>145</v>
      </c>
    </row>
    <row r="12" spans="1:60">
      <c r="A12" s="1" t="s">
        <v>68</v>
      </c>
      <c r="B12" s="2" t="s">
        <v>155</v>
      </c>
      <c r="C12" s="2" t="s">
        <v>174</v>
      </c>
      <c r="D12" s="2">
        <v>742</v>
      </c>
      <c r="E12" s="2" t="s">
        <v>175</v>
      </c>
      <c r="F12" s="2">
        <v>743</v>
      </c>
      <c r="G12" s="2" t="s">
        <v>176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t="s">
        <v>177</v>
      </c>
      <c r="V12" s="56" t="s">
        <v>178</v>
      </c>
      <c r="W12" s="57" t="s">
        <v>179</v>
      </c>
      <c r="X12" s="57" t="s">
        <v>180</v>
      </c>
      <c r="Y12" s="57" t="s">
        <v>181</v>
      </c>
      <c r="Z12" s="58" t="s">
        <v>182</v>
      </c>
      <c r="AA12" s="60"/>
      <c r="AB12" s="60"/>
      <c r="AC12" s="60"/>
      <c r="AF12" s="3" t="s">
        <v>183</v>
      </c>
      <c r="AG12" s="13" t="s">
        <v>184</v>
      </c>
      <c r="AI12" s="3" t="s">
        <v>81</v>
      </c>
      <c r="AK12" s="3" t="s">
        <v>183</v>
      </c>
      <c r="AL12" s="18" t="s">
        <v>185</v>
      </c>
      <c r="AM12" s="3">
        <v>509</v>
      </c>
      <c r="AN12" s="3" t="s">
        <v>63</v>
      </c>
      <c r="AP12" s="3" t="s">
        <v>183</v>
      </c>
      <c r="AQ12" s="3" t="s">
        <v>186</v>
      </c>
      <c r="AR12" s="26">
        <v>518</v>
      </c>
      <c r="AS12" s="3" t="s">
        <v>63</v>
      </c>
      <c r="AU12" s="3" t="s">
        <v>183</v>
      </c>
      <c r="AV12" s="3" t="s">
        <v>28</v>
      </c>
      <c r="AW12" s="3">
        <v>538</v>
      </c>
      <c r="AX12" s="3" t="s">
        <v>145</v>
      </c>
      <c r="AZ12" s="3" t="s">
        <v>183</v>
      </c>
      <c r="BA12" s="40" t="s">
        <v>187</v>
      </c>
      <c r="BB12" s="26">
        <v>571</v>
      </c>
      <c r="BC12" s="3" t="s">
        <v>81</v>
      </c>
      <c r="BE12" s="3" t="s">
        <v>183</v>
      </c>
      <c r="BF12" s="41" t="s">
        <v>188</v>
      </c>
      <c r="BG12" s="18">
        <v>386</v>
      </c>
      <c r="BH12" s="3" t="s">
        <v>167</v>
      </c>
    </row>
    <row r="13" spans="1:60">
      <c r="A13" s="1" t="s">
        <v>68</v>
      </c>
      <c r="B13" s="2" t="s">
        <v>189</v>
      </c>
      <c r="C13" s="5" t="s">
        <v>190</v>
      </c>
      <c r="D13" s="5">
        <v>549</v>
      </c>
      <c r="E13" s="5" t="s">
        <v>191</v>
      </c>
      <c r="F13" s="5">
        <v>550</v>
      </c>
      <c r="G13" s="5" t="s">
        <v>192</v>
      </c>
      <c r="H13" s="5">
        <v>551</v>
      </c>
      <c r="I13" s="5" t="s">
        <v>193</v>
      </c>
      <c r="J13" s="5">
        <v>552</v>
      </c>
      <c r="K13" s="5" t="s">
        <v>120</v>
      </c>
      <c r="L13" s="5">
        <v>553</v>
      </c>
      <c r="M13" s="5" t="s">
        <v>155</v>
      </c>
      <c r="N13" s="5">
        <v>554</v>
      </c>
      <c r="O13" s="5" t="s">
        <v>159</v>
      </c>
      <c r="P13" s="5">
        <v>555</v>
      </c>
      <c r="Q13" s="5" t="s">
        <v>194</v>
      </c>
      <c r="R13" s="5">
        <v>556</v>
      </c>
      <c r="S13" s="5" t="s">
        <v>195</v>
      </c>
      <c r="T13" s="5"/>
      <c r="U13" t="s">
        <v>196</v>
      </c>
      <c r="V13" s="56" t="s">
        <v>197</v>
      </c>
      <c r="W13" s="57" t="s">
        <v>198</v>
      </c>
      <c r="X13" s="57" t="s">
        <v>199</v>
      </c>
      <c r="Y13" s="57" t="s">
        <v>200</v>
      </c>
      <c r="Z13" s="58" t="s">
        <v>201</v>
      </c>
      <c r="AA13" s="60"/>
      <c r="AB13" s="60"/>
      <c r="AC13" s="60"/>
      <c r="AF13" s="3" t="s">
        <v>202</v>
      </c>
      <c r="AG13" s="3" t="s">
        <v>203</v>
      </c>
      <c r="AH13" s="3">
        <v>361</v>
      </c>
      <c r="AI13" s="3" t="s">
        <v>183</v>
      </c>
      <c r="AK13" s="3" t="s">
        <v>202</v>
      </c>
      <c r="AL13" s="18" t="s">
        <v>204</v>
      </c>
      <c r="AM13" s="3">
        <v>510</v>
      </c>
      <c r="AN13" s="3" t="s">
        <v>63</v>
      </c>
      <c r="AP13" s="3" t="s">
        <v>202</v>
      </c>
      <c r="AQ13" s="40" t="s">
        <v>205</v>
      </c>
      <c r="AR13" s="26">
        <v>519</v>
      </c>
      <c r="AS13" s="3" t="s">
        <v>63</v>
      </c>
      <c r="AU13" s="3" t="s">
        <v>202</v>
      </c>
      <c r="AV13" s="13" t="s">
        <v>206</v>
      </c>
      <c r="AW13" s="26"/>
      <c r="AZ13" s="3" t="s">
        <v>202</v>
      </c>
      <c r="BA13" s="13" t="s">
        <v>207</v>
      </c>
      <c r="BB13" s="26"/>
      <c r="BC13" s="3" t="s">
        <v>63</v>
      </c>
      <c r="BE13" s="3" t="s">
        <v>202</v>
      </c>
      <c r="BF13" s="19" t="s">
        <v>208</v>
      </c>
      <c r="BG13" s="18">
        <v>398</v>
      </c>
      <c r="BH13" s="3" t="s">
        <v>167</v>
      </c>
    </row>
    <row r="14" spans="1:60">
      <c r="A14" s="1" t="s">
        <v>68</v>
      </c>
      <c r="B14" s="2" t="s">
        <v>189</v>
      </c>
      <c r="C14" s="5" t="s">
        <v>209</v>
      </c>
      <c r="D14" s="5">
        <v>557</v>
      </c>
      <c r="E14" s="5" t="s">
        <v>210</v>
      </c>
      <c r="F14" s="5">
        <v>558</v>
      </c>
      <c r="G14" s="5" t="s">
        <v>211</v>
      </c>
      <c r="H14" s="5">
        <v>559</v>
      </c>
      <c r="I14" s="5" t="s">
        <v>212</v>
      </c>
      <c r="J14" s="5">
        <v>560</v>
      </c>
      <c r="K14" s="5" t="s">
        <v>213</v>
      </c>
      <c r="L14" s="5">
        <v>561</v>
      </c>
      <c r="M14" s="5" t="s">
        <v>214</v>
      </c>
      <c r="N14" s="5">
        <v>562</v>
      </c>
      <c r="O14" s="5" t="s">
        <v>215</v>
      </c>
      <c r="P14" s="5">
        <v>563</v>
      </c>
      <c r="Q14" s="5" t="s">
        <v>216</v>
      </c>
      <c r="R14" s="5"/>
      <c r="S14" s="5"/>
      <c r="T14" s="5"/>
      <c r="U14" t="s">
        <v>217</v>
      </c>
      <c r="V14" s="56" t="s">
        <v>218</v>
      </c>
      <c r="W14" s="57" t="s">
        <v>219</v>
      </c>
      <c r="X14" s="57" t="s">
        <v>220</v>
      </c>
      <c r="Y14" s="57" t="s">
        <v>221</v>
      </c>
      <c r="Z14" s="58" t="s">
        <v>222</v>
      </c>
      <c r="AA14" s="60"/>
      <c r="AB14" s="60"/>
      <c r="AC14" s="60"/>
      <c r="AF14" s="3" t="s">
        <v>223</v>
      </c>
      <c r="AG14" s="3" t="s">
        <v>224</v>
      </c>
      <c r="AH14" s="3">
        <v>362</v>
      </c>
      <c r="AI14" s="3" t="s">
        <v>183</v>
      </c>
      <c r="AK14" s="3" t="s">
        <v>223</v>
      </c>
      <c r="AL14" s="18" t="s">
        <v>225</v>
      </c>
      <c r="AM14" s="3">
        <v>511</v>
      </c>
      <c r="AN14" s="3" t="s">
        <v>63</v>
      </c>
      <c r="AP14" s="3" t="s">
        <v>223</v>
      </c>
      <c r="AQ14" s="3" t="s">
        <v>226</v>
      </c>
      <c r="AR14" s="26">
        <v>520</v>
      </c>
      <c r="AS14" s="3" t="s">
        <v>63</v>
      </c>
      <c r="AU14" s="3" t="s">
        <v>223</v>
      </c>
      <c r="AV14" s="3" t="s">
        <v>227</v>
      </c>
      <c r="AW14" s="3">
        <v>539</v>
      </c>
      <c r="AX14" s="3" t="s">
        <v>202</v>
      </c>
      <c r="AZ14" s="3" t="s">
        <v>223</v>
      </c>
      <c r="BA14" s="3" t="s">
        <v>228</v>
      </c>
      <c r="BB14" s="26">
        <v>572</v>
      </c>
      <c r="BC14" s="3" t="s">
        <v>202</v>
      </c>
      <c r="BE14" s="3" t="s">
        <v>223</v>
      </c>
      <c r="BF14" s="19" t="s">
        <v>229</v>
      </c>
      <c r="BG14" s="18">
        <v>505</v>
      </c>
      <c r="BH14" s="3" t="s">
        <v>167</v>
      </c>
    </row>
    <row r="15" spans="1:60" ht="15.75">
      <c r="A15" s="1" t="s">
        <v>68</v>
      </c>
      <c r="B15" s="2" t="s">
        <v>189</v>
      </c>
      <c r="C15" s="5" t="s">
        <v>230</v>
      </c>
      <c r="D15" s="5">
        <v>565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t="s">
        <v>231</v>
      </c>
      <c r="V15" s="56" t="s">
        <v>232</v>
      </c>
      <c r="W15" s="57" t="s">
        <v>233</v>
      </c>
      <c r="X15" s="57" t="s">
        <v>234</v>
      </c>
      <c r="Y15" s="57" t="s">
        <v>235</v>
      </c>
      <c r="Z15" s="58" t="s">
        <v>236</v>
      </c>
      <c r="AA15" s="60"/>
      <c r="AB15" s="60"/>
      <c r="AC15" s="60"/>
      <c r="AF15" s="3" t="s">
        <v>237</v>
      </c>
      <c r="AG15" s="3" t="s">
        <v>238</v>
      </c>
      <c r="AH15" s="3">
        <v>363</v>
      </c>
      <c r="AI15" s="3" t="s">
        <v>183</v>
      </c>
      <c r="AK15" s="3" t="s">
        <v>237</v>
      </c>
      <c r="AL15" s="18" t="s">
        <v>239</v>
      </c>
      <c r="AM15" s="3">
        <v>512</v>
      </c>
      <c r="AN15" s="3" t="s">
        <v>63</v>
      </c>
      <c r="AP15" s="3" t="s">
        <v>237</v>
      </c>
      <c r="AQ15" s="3" t="s">
        <v>240</v>
      </c>
      <c r="AR15" s="12">
        <v>521</v>
      </c>
      <c r="AS15" s="3" t="s">
        <v>63</v>
      </c>
      <c r="AU15" s="3" t="s">
        <v>237</v>
      </c>
      <c r="AV15" s="3" t="s">
        <v>241</v>
      </c>
      <c r="AW15" s="3">
        <v>540</v>
      </c>
      <c r="AX15" s="3" t="s">
        <v>202</v>
      </c>
      <c r="AZ15" s="3" t="s">
        <v>237</v>
      </c>
      <c r="BA15" s="3" t="s">
        <v>242</v>
      </c>
      <c r="BB15" s="26">
        <v>573</v>
      </c>
      <c r="BC15" s="3" t="s">
        <v>202</v>
      </c>
      <c r="BE15" s="3" t="s">
        <v>237</v>
      </c>
      <c r="BF15" s="31" t="s">
        <v>243</v>
      </c>
      <c r="BG15" s="18"/>
      <c r="BH15" s="3" t="s">
        <v>145</v>
      </c>
    </row>
    <row r="16" spans="1:60">
      <c r="A16" s="1" t="s">
        <v>68</v>
      </c>
      <c r="B16" s="2" t="s">
        <v>65</v>
      </c>
      <c r="C16" s="2" t="s">
        <v>244</v>
      </c>
      <c r="D16" s="2">
        <v>566</v>
      </c>
      <c r="E16" s="5" t="s">
        <v>245</v>
      </c>
      <c r="F16" s="5">
        <v>567</v>
      </c>
      <c r="G16" s="5" t="s">
        <v>246</v>
      </c>
      <c r="H16" s="5">
        <v>568</v>
      </c>
      <c r="I16" s="5" t="s">
        <v>247</v>
      </c>
      <c r="J16" s="5">
        <v>569</v>
      </c>
      <c r="K16" s="5" t="s">
        <v>248</v>
      </c>
      <c r="L16" s="5"/>
      <c r="M16" s="2"/>
      <c r="N16" s="2"/>
      <c r="O16" s="2"/>
      <c r="P16" s="2"/>
      <c r="Q16" s="2"/>
      <c r="R16" s="2"/>
      <c r="S16" s="2"/>
      <c r="T16" s="2"/>
      <c r="U16"/>
      <c r="AF16" s="3" t="s">
        <v>249</v>
      </c>
      <c r="AG16" s="3" t="s">
        <v>250</v>
      </c>
      <c r="AH16" s="3">
        <v>364</v>
      </c>
      <c r="AI16" s="3" t="s">
        <v>183</v>
      </c>
      <c r="AM16" s="12"/>
      <c r="AP16" s="3" t="s">
        <v>249</v>
      </c>
      <c r="AQ16" s="3" t="s">
        <v>251</v>
      </c>
      <c r="AR16" s="14">
        <v>522</v>
      </c>
      <c r="AS16" s="3" t="s">
        <v>63</v>
      </c>
      <c r="AU16" s="3" t="s">
        <v>249</v>
      </c>
      <c r="AV16" s="3" t="s">
        <v>252</v>
      </c>
      <c r="AW16" s="3">
        <v>541</v>
      </c>
      <c r="AX16" s="3" t="s">
        <v>202</v>
      </c>
      <c r="AZ16" s="3" t="s">
        <v>249</v>
      </c>
      <c r="BA16" s="3" t="s">
        <v>253</v>
      </c>
      <c r="BB16" s="26">
        <v>574</v>
      </c>
      <c r="BC16" s="3" t="s">
        <v>202</v>
      </c>
      <c r="BE16" s="3" t="s">
        <v>249</v>
      </c>
      <c r="BF16" s="44" t="s">
        <v>254</v>
      </c>
      <c r="BG16" s="18">
        <v>599</v>
      </c>
      <c r="BH16" s="3" t="s">
        <v>237</v>
      </c>
    </row>
    <row r="17" spans="1:60">
      <c r="A17" s="1" t="s">
        <v>68</v>
      </c>
      <c r="B17" s="2" t="s">
        <v>65</v>
      </c>
      <c r="C17" s="2" t="s">
        <v>255</v>
      </c>
      <c r="D17" s="2">
        <v>570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64" t="s">
        <v>256</v>
      </c>
      <c r="V17" s="65"/>
      <c r="W17" s="65"/>
      <c r="X17" s="65"/>
      <c r="Y17" s="59"/>
      <c r="AF17" s="3" t="s">
        <v>257</v>
      </c>
      <c r="AG17" s="13" t="s">
        <v>258</v>
      </c>
      <c r="AI17" s="3" t="s">
        <v>63</v>
      </c>
      <c r="AM17" s="14"/>
      <c r="AP17" s="3" t="s">
        <v>257</v>
      </c>
      <c r="AQ17" s="3" t="s">
        <v>259</v>
      </c>
      <c r="AR17" s="12">
        <v>523</v>
      </c>
      <c r="AS17" s="3" t="s">
        <v>63</v>
      </c>
      <c r="AU17" s="3" t="s">
        <v>257</v>
      </c>
      <c r="AV17" s="40" t="s">
        <v>260</v>
      </c>
      <c r="AW17" s="3">
        <v>542</v>
      </c>
      <c r="AX17" s="3" t="s">
        <v>202</v>
      </c>
      <c r="AZ17" s="3" t="s">
        <v>257</v>
      </c>
      <c r="BA17" s="3" t="s">
        <v>261</v>
      </c>
      <c r="BB17" s="26">
        <v>575</v>
      </c>
      <c r="BC17" s="3" t="s">
        <v>202</v>
      </c>
      <c r="BE17" s="3" t="s">
        <v>257</v>
      </c>
      <c r="BF17" s="19" t="s">
        <v>262</v>
      </c>
      <c r="BG17" s="18">
        <v>424</v>
      </c>
      <c r="BH17" s="3" t="s">
        <v>237</v>
      </c>
    </row>
    <row r="18" spans="1:60">
      <c r="A18" s="1" t="s">
        <v>68</v>
      </c>
      <c r="B18" s="2" t="s">
        <v>65</v>
      </c>
      <c r="C18" s="2" t="s">
        <v>263</v>
      </c>
      <c r="D18" s="2">
        <v>571</v>
      </c>
      <c r="E18" s="5" t="s">
        <v>264</v>
      </c>
      <c r="F18" s="5">
        <v>572</v>
      </c>
      <c r="G18" s="5" t="s">
        <v>265</v>
      </c>
      <c r="H18" s="5">
        <v>573</v>
      </c>
      <c r="I18" s="5" t="s">
        <v>266</v>
      </c>
      <c r="J18" s="5">
        <v>574</v>
      </c>
      <c r="K18" s="5" t="s">
        <v>267</v>
      </c>
      <c r="L18" s="5"/>
      <c r="M18" s="2"/>
      <c r="N18" s="2"/>
      <c r="O18" s="2"/>
      <c r="P18" s="2"/>
      <c r="Q18" s="2"/>
      <c r="R18" s="2"/>
      <c r="S18" s="2"/>
      <c r="T18" s="2"/>
      <c r="U18" t="s">
        <v>51</v>
      </c>
      <c r="V18" t="s">
        <v>268</v>
      </c>
      <c r="W18" t="s">
        <v>269</v>
      </c>
      <c r="X18" t="s">
        <v>270</v>
      </c>
      <c r="AF18" s="3" t="s">
        <v>271</v>
      </c>
      <c r="AG18" s="3" t="s">
        <v>272</v>
      </c>
      <c r="AH18" s="3">
        <v>365</v>
      </c>
      <c r="AI18" s="3" t="s">
        <v>257</v>
      </c>
      <c r="AM18" s="14"/>
      <c r="AP18" s="3" t="s">
        <v>271</v>
      </c>
      <c r="AQ18" s="13" t="s">
        <v>273</v>
      </c>
      <c r="AR18" s="14"/>
      <c r="AU18" s="3" t="s">
        <v>271</v>
      </c>
      <c r="AV18" s="13" t="s">
        <v>274</v>
      </c>
      <c r="AW18" s="26" t="s">
        <v>67</v>
      </c>
      <c r="AZ18" s="3" t="s">
        <v>271</v>
      </c>
      <c r="BA18" s="3" t="s">
        <v>275</v>
      </c>
      <c r="BB18" s="26">
        <v>576</v>
      </c>
      <c r="BC18" s="3" t="s">
        <v>202</v>
      </c>
      <c r="BE18" s="3" t="s">
        <v>271</v>
      </c>
      <c r="BF18" s="19" t="s">
        <v>276</v>
      </c>
      <c r="BG18" s="18">
        <v>417</v>
      </c>
      <c r="BH18" s="3" t="s">
        <v>237</v>
      </c>
    </row>
    <row r="19" spans="1:60">
      <c r="A19" s="1" t="s">
        <v>68</v>
      </c>
      <c r="B19" s="2" t="s">
        <v>65</v>
      </c>
      <c r="C19" s="2" t="s">
        <v>100</v>
      </c>
      <c r="D19" s="2">
        <v>575</v>
      </c>
      <c r="E19" s="2" t="s">
        <v>277</v>
      </c>
      <c r="F19" s="2">
        <v>576</v>
      </c>
      <c r="G19" s="2" t="s">
        <v>278</v>
      </c>
      <c r="H19" s="2">
        <v>577</v>
      </c>
      <c r="I19" s="2" t="s">
        <v>279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t="s">
        <v>62</v>
      </c>
      <c r="V19" s="57">
        <v>489</v>
      </c>
      <c r="W19" s="57">
        <v>490</v>
      </c>
      <c r="X19" s="57">
        <v>491</v>
      </c>
      <c r="Y19" s="60"/>
      <c r="Z19" s="60"/>
      <c r="AA19" s="60"/>
      <c r="AB19" s="60"/>
      <c r="AC19" s="60"/>
      <c r="AF19" s="3" t="s">
        <v>280</v>
      </c>
      <c r="AG19" s="3" t="s">
        <v>281</v>
      </c>
      <c r="AH19" s="3">
        <v>366</v>
      </c>
      <c r="AI19" s="3" t="s">
        <v>257</v>
      </c>
      <c r="AM19" s="14"/>
      <c r="AP19" s="3" t="s">
        <v>280</v>
      </c>
      <c r="AQ19" s="3" t="s">
        <v>282</v>
      </c>
      <c r="AR19" s="14">
        <v>524</v>
      </c>
      <c r="AS19" s="3" t="s">
        <v>271</v>
      </c>
      <c r="AU19" s="3" t="s">
        <v>280</v>
      </c>
      <c r="AV19" s="13" t="s">
        <v>283</v>
      </c>
      <c r="AW19" s="26"/>
      <c r="AX19" s="3" t="s">
        <v>271</v>
      </c>
      <c r="AZ19" s="3" t="s">
        <v>280</v>
      </c>
      <c r="BA19" s="3" t="s">
        <v>284</v>
      </c>
      <c r="BB19" s="26">
        <v>577</v>
      </c>
      <c r="BC19" s="3" t="s">
        <v>202</v>
      </c>
      <c r="BE19" s="3" t="s">
        <v>280</v>
      </c>
      <c r="BF19" s="19" t="s">
        <v>285</v>
      </c>
      <c r="BG19" s="18">
        <v>508</v>
      </c>
      <c r="BH19" s="3" t="s">
        <v>237</v>
      </c>
    </row>
    <row r="20" spans="1:60">
      <c r="A20" s="1" t="s">
        <v>68</v>
      </c>
      <c r="B20" s="2" t="s">
        <v>65</v>
      </c>
      <c r="C20" s="5" t="s">
        <v>286</v>
      </c>
      <c r="D20" s="5">
        <v>578</v>
      </c>
      <c r="E20" s="5" t="s">
        <v>287</v>
      </c>
      <c r="F20" s="5">
        <v>744</v>
      </c>
      <c r="G20" s="5" t="s">
        <v>288</v>
      </c>
      <c r="H20" s="5">
        <v>745</v>
      </c>
      <c r="I20" s="5" t="s">
        <v>289</v>
      </c>
      <c r="J20" s="5">
        <v>746</v>
      </c>
      <c r="K20" s="5" t="s">
        <v>290</v>
      </c>
      <c r="L20" s="5"/>
      <c r="M20" s="5"/>
      <c r="N20" s="5"/>
      <c r="O20" s="5"/>
      <c r="P20" s="5"/>
      <c r="Q20" s="5"/>
      <c r="R20" s="5"/>
      <c r="S20" s="5"/>
      <c r="T20" s="5"/>
      <c r="U20" t="s">
        <v>291</v>
      </c>
      <c r="V20" s="56" t="s">
        <v>292</v>
      </c>
      <c r="W20" s="57" t="s">
        <v>293</v>
      </c>
      <c r="X20" s="57" t="s">
        <v>294</v>
      </c>
      <c r="Y20" s="60"/>
      <c r="Z20" s="60"/>
      <c r="AA20" s="60"/>
      <c r="AB20" s="60"/>
      <c r="AC20" s="60"/>
      <c r="AF20" s="3" t="s">
        <v>295</v>
      </c>
      <c r="AG20" s="3" t="s">
        <v>296</v>
      </c>
      <c r="AH20" s="3">
        <v>367</v>
      </c>
      <c r="AI20" s="3" t="s">
        <v>257</v>
      </c>
      <c r="AM20" s="14"/>
      <c r="AP20" s="3" t="s">
        <v>295</v>
      </c>
      <c r="AQ20" s="3" t="s">
        <v>297</v>
      </c>
      <c r="AR20" s="14">
        <v>525</v>
      </c>
      <c r="AS20" s="3" t="s">
        <v>271</v>
      </c>
      <c r="AU20" s="3" t="s">
        <v>295</v>
      </c>
      <c r="AV20" s="2" t="s">
        <v>298</v>
      </c>
      <c r="AW20" s="26">
        <v>543</v>
      </c>
      <c r="AX20" s="3" t="s">
        <v>280</v>
      </c>
      <c r="AZ20" s="3" t="s">
        <v>295</v>
      </c>
      <c r="BA20" s="3" t="s">
        <v>299</v>
      </c>
      <c r="BB20" s="26">
        <v>578</v>
      </c>
      <c r="BC20" s="3" t="s">
        <v>202</v>
      </c>
      <c r="BE20" s="3" t="s">
        <v>295</v>
      </c>
      <c r="BF20" s="21" t="s">
        <v>300</v>
      </c>
      <c r="BG20" s="18">
        <v>510</v>
      </c>
      <c r="BH20" s="3" t="s">
        <v>237</v>
      </c>
    </row>
    <row r="21" spans="1:60" ht="15.75">
      <c r="A21" s="1" t="s">
        <v>68</v>
      </c>
      <c r="B21" s="2" t="s">
        <v>65</v>
      </c>
      <c r="C21" s="5" t="s">
        <v>301</v>
      </c>
      <c r="D21" s="5">
        <v>579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t="s">
        <v>89</v>
      </c>
      <c r="V21" s="56" t="s">
        <v>302</v>
      </c>
      <c r="W21" s="57" t="s">
        <v>303</v>
      </c>
      <c r="X21" s="57" t="s">
        <v>304</v>
      </c>
      <c r="Y21" s="60"/>
      <c r="Z21" s="60"/>
      <c r="AA21" s="60"/>
      <c r="AB21" s="60"/>
      <c r="AC21" s="60"/>
      <c r="AF21" s="3" t="s">
        <v>305</v>
      </c>
      <c r="AG21" s="3" t="s">
        <v>306</v>
      </c>
      <c r="AH21" s="3">
        <v>368</v>
      </c>
      <c r="AI21" s="3" t="s">
        <v>257</v>
      </c>
      <c r="AM21" s="14"/>
      <c r="AP21" s="3" t="s">
        <v>305</v>
      </c>
      <c r="AQ21" s="3" t="s">
        <v>307</v>
      </c>
      <c r="AR21" s="14">
        <v>526</v>
      </c>
      <c r="AS21" s="3" t="s">
        <v>271</v>
      </c>
      <c r="AU21" s="3" t="s">
        <v>305</v>
      </c>
      <c r="AV21" s="2" t="s">
        <v>308</v>
      </c>
      <c r="AW21" s="26">
        <v>544</v>
      </c>
      <c r="AX21" s="3" t="s">
        <v>280</v>
      </c>
      <c r="AZ21" s="3" t="s">
        <v>305</v>
      </c>
      <c r="BA21" s="13" t="s">
        <v>189</v>
      </c>
      <c r="BB21" s="26"/>
      <c r="BC21" s="3" t="s">
        <v>63</v>
      </c>
      <c r="BE21" s="3" t="s">
        <v>305</v>
      </c>
      <c r="BF21" s="32" t="s">
        <v>309</v>
      </c>
      <c r="BG21" s="18"/>
      <c r="BH21" s="3" t="s">
        <v>145</v>
      </c>
    </row>
    <row r="22" spans="1:60">
      <c r="A22" s="1" t="s">
        <v>68</v>
      </c>
      <c r="B22" s="2" t="s">
        <v>65</v>
      </c>
      <c r="C22" s="5" t="s">
        <v>310</v>
      </c>
      <c r="D22" s="5">
        <v>580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t="s">
        <v>104</v>
      </c>
      <c r="V22" s="56" t="s">
        <v>311</v>
      </c>
      <c r="W22" s="57" t="s">
        <v>312</v>
      </c>
      <c r="X22" s="57" t="s">
        <v>313</v>
      </c>
      <c r="Y22" s="60"/>
      <c r="Z22" s="60"/>
      <c r="AA22" s="60"/>
      <c r="AB22" s="60"/>
      <c r="AC22" s="60"/>
      <c r="AF22" s="3" t="s">
        <v>314</v>
      </c>
      <c r="AG22" s="13" t="s">
        <v>315</v>
      </c>
      <c r="AI22" s="3" t="s">
        <v>63</v>
      </c>
      <c r="AL22" s="13"/>
      <c r="AM22" s="14"/>
      <c r="AP22" s="3" t="s">
        <v>314</v>
      </c>
      <c r="AQ22" s="3" t="s">
        <v>316</v>
      </c>
      <c r="AR22" s="14">
        <v>527</v>
      </c>
      <c r="AS22" s="3" t="s">
        <v>271</v>
      </c>
      <c r="AU22" s="3" t="s">
        <v>314</v>
      </c>
      <c r="AV22" s="2" t="s">
        <v>317</v>
      </c>
      <c r="AW22" s="12">
        <v>545</v>
      </c>
      <c r="AX22" s="3" t="s">
        <v>280</v>
      </c>
      <c r="AZ22" s="3" t="s">
        <v>314</v>
      </c>
      <c r="BA22" s="3" t="s">
        <v>190</v>
      </c>
      <c r="BB22" s="26">
        <v>579</v>
      </c>
      <c r="BC22" s="3" t="s">
        <v>305</v>
      </c>
      <c r="BE22" s="3" t="s">
        <v>314</v>
      </c>
      <c r="BF22" s="19" t="s">
        <v>208</v>
      </c>
      <c r="BG22" s="18">
        <v>398</v>
      </c>
      <c r="BH22" s="3" t="s">
        <v>305</v>
      </c>
    </row>
    <row r="23" spans="1:60">
      <c r="A23" s="1" t="s">
        <v>68</v>
      </c>
      <c r="B23" s="2" t="s">
        <v>65</v>
      </c>
      <c r="C23" s="5" t="s">
        <v>318</v>
      </c>
      <c r="D23" s="5">
        <v>581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t="s">
        <v>122</v>
      </c>
      <c r="V23" s="56" t="s">
        <v>319</v>
      </c>
      <c r="W23" s="57" t="s">
        <v>320</v>
      </c>
      <c r="X23" s="57" t="s">
        <v>321</v>
      </c>
      <c r="Y23" s="60"/>
      <c r="Z23" s="60"/>
      <c r="AA23" s="60"/>
      <c r="AB23" s="60"/>
      <c r="AC23" s="60"/>
      <c r="AF23" s="3" t="s">
        <v>322</v>
      </c>
      <c r="AG23" s="3" t="s">
        <v>323</v>
      </c>
      <c r="AH23" s="3">
        <v>369</v>
      </c>
      <c r="AI23" s="3" t="s">
        <v>314</v>
      </c>
      <c r="AM23" s="14"/>
      <c r="AP23" s="3" t="s">
        <v>322</v>
      </c>
      <c r="AQ23" s="3" t="s">
        <v>324</v>
      </c>
      <c r="AR23" s="14">
        <v>528</v>
      </c>
      <c r="AS23" s="3" t="s">
        <v>271</v>
      </c>
      <c r="AU23" s="3" t="s">
        <v>322</v>
      </c>
      <c r="AV23" s="2" t="s">
        <v>325</v>
      </c>
      <c r="AW23" s="14">
        <v>546</v>
      </c>
      <c r="AX23" s="3" t="s">
        <v>280</v>
      </c>
      <c r="AZ23" s="3" t="s">
        <v>322</v>
      </c>
      <c r="BA23" s="3" t="s">
        <v>209</v>
      </c>
      <c r="BB23" s="26">
        <v>580</v>
      </c>
      <c r="BC23" s="3" t="s">
        <v>305</v>
      </c>
      <c r="BE23" s="3" t="s">
        <v>322</v>
      </c>
      <c r="BF23" s="19" t="s">
        <v>259</v>
      </c>
      <c r="BG23" s="18">
        <v>523</v>
      </c>
      <c r="BH23" s="3" t="s">
        <v>305</v>
      </c>
    </row>
    <row r="24" spans="1:60">
      <c r="A24" s="1" t="s">
        <v>68</v>
      </c>
      <c r="B24" s="2" t="s">
        <v>65</v>
      </c>
      <c r="C24" s="2" t="s">
        <v>326</v>
      </c>
      <c r="D24" s="2">
        <v>582</v>
      </c>
      <c r="E24" s="2" t="s">
        <v>33</v>
      </c>
      <c r="F24" s="2">
        <v>583</v>
      </c>
      <c r="G24" s="2" t="s">
        <v>35</v>
      </c>
      <c r="H24" s="2">
        <v>584</v>
      </c>
      <c r="I24" s="2" t="s">
        <v>120</v>
      </c>
      <c r="J24" s="2">
        <v>585</v>
      </c>
      <c r="K24" s="2" t="s">
        <v>159</v>
      </c>
      <c r="L24" s="2">
        <v>586</v>
      </c>
      <c r="M24" s="2" t="s">
        <v>327</v>
      </c>
      <c r="N24" s="2"/>
      <c r="O24" s="2"/>
      <c r="P24" s="2"/>
      <c r="Q24" s="2"/>
      <c r="R24" s="2"/>
      <c r="S24" s="2"/>
      <c r="T24" s="2"/>
      <c r="U24" t="s">
        <v>139</v>
      </c>
      <c r="V24" s="56" t="s">
        <v>328</v>
      </c>
      <c r="W24" s="57" t="s">
        <v>329</v>
      </c>
      <c r="X24" s="57" t="s">
        <v>330</v>
      </c>
      <c r="Y24" s="60"/>
      <c r="Z24" s="60"/>
      <c r="AA24" s="60"/>
      <c r="AB24" s="60"/>
      <c r="AC24" s="60"/>
      <c r="AF24" s="3" t="s">
        <v>331</v>
      </c>
      <c r="AG24" s="3" t="s">
        <v>272</v>
      </c>
      <c r="AH24" s="3">
        <v>370</v>
      </c>
      <c r="AI24" s="3" t="s">
        <v>314</v>
      </c>
      <c r="AM24" s="14"/>
      <c r="AP24" s="3" t="s">
        <v>331</v>
      </c>
      <c r="AQ24" s="3" t="s">
        <v>332</v>
      </c>
      <c r="AR24" s="14">
        <v>529</v>
      </c>
      <c r="AS24" s="3" t="s">
        <v>271</v>
      </c>
      <c r="AU24" s="3" t="s">
        <v>331</v>
      </c>
      <c r="AV24" s="2" t="s">
        <v>333</v>
      </c>
      <c r="AW24" s="14">
        <v>547</v>
      </c>
      <c r="AX24" s="3" t="s">
        <v>280</v>
      </c>
      <c r="AZ24" s="3" t="s">
        <v>331</v>
      </c>
      <c r="BA24" s="13" t="s">
        <v>334</v>
      </c>
      <c r="BB24" s="26"/>
      <c r="BE24" s="3" t="s">
        <v>331</v>
      </c>
      <c r="BF24" s="41" t="s">
        <v>335</v>
      </c>
      <c r="BG24" s="18">
        <v>571</v>
      </c>
      <c r="BH24" s="3" t="s">
        <v>305</v>
      </c>
    </row>
    <row r="25" spans="1:60" ht="15.75">
      <c r="A25" s="1" t="s">
        <v>68</v>
      </c>
      <c r="B25" s="2" t="s">
        <v>65</v>
      </c>
      <c r="C25" s="2" t="s">
        <v>336</v>
      </c>
      <c r="D25" s="2">
        <v>587</v>
      </c>
      <c r="E25" s="2" t="s">
        <v>337</v>
      </c>
      <c r="F25" s="2">
        <v>588</v>
      </c>
      <c r="G25" s="2" t="s">
        <v>338</v>
      </c>
      <c r="H25" s="2">
        <v>589</v>
      </c>
      <c r="I25" s="2" t="s">
        <v>339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t="s">
        <v>161</v>
      </c>
      <c r="V25" s="56" t="s">
        <v>340</v>
      </c>
      <c r="W25" s="57" t="s">
        <v>341</v>
      </c>
      <c r="X25" s="57" t="s">
        <v>342</v>
      </c>
      <c r="Y25" s="60"/>
      <c r="Z25" s="60"/>
      <c r="AA25" s="60"/>
      <c r="AB25" s="60"/>
      <c r="AC25" s="60"/>
      <c r="AF25" s="3" t="s">
        <v>343</v>
      </c>
      <c r="AG25" s="3" t="s">
        <v>281</v>
      </c>
      <c r="AH25" s="3">
        <v>371</v>
      </c>
      <c r="AI25" s="3" t="s">
        <v>314</v>
      </c>
      <c r="AP25" s="3" t="s">
        <v>343</v>
      </c>
      <c r="AQ25" s="3" t="s">
        <v>344</v>
      </c>
      <c r="AR25" s="14">
        <v>530</v>
      </c>
      <c r="AS25" s="3" t="s">
        <v>271</v>
      </c>
      <c r="AU25" s="3" t="s">
        <v>343</v>
      </c>
      <c r="AV25" s="2" t="s">
        <v>345</v>
      </c>
      <c r="AW25" s="14">
        <v>548</v>
      </c>
      <c r="AX25" s="3" t="s">
        <v>280</v>
      </c>
      <c r="AZ25" s="3" t="s">
        <v>343</v>
      </c>
      <c r="BA25" s="3" t="s">
        <v>346</v>
      </c>
      <c r="BB25" s="26">
        <v>581</v>
      </c>
      <c r="BC25" s="3" t="s">
        <v>331</v>
      </c>
      <c r="BE25" s="3" t="s">
        <v>343</v>
      </c>
      <c r="BF25" s="30" t="s">
        <v>347</v>
      </c>
      <c r="BG25" s="18"/>
      <c r="BH25" s="3" t="s">
        <v>145</v>
      </c>
    </row>
    <row r="26" spans="1:60">
      <c r="A26" s="1" t="s">
        <v>68</v>
      </c>
      <c r="B26" s="5" t="s">
        <v>65</v>
      </c>
      <c r="C26" s="5" t="s">
        <v>348</v>
      </c>
      <c r="D26" s="5">
        <v>590</v>
      </c>
      <c r="E26" s="5" t="s">
        <v>349</v>
      </c>
      <c r="F26" s="5">
        <v>591</v>
      </c>
      <c r="G26" s="5" t="s">
        <v>350</v>
      </c>
      <c r="H26" s="5">
        <v>592</v>
      </c>
      <c r="I26" s="5" t="s">
        <v>351</v>
      </c>
      <c r="J26" s="5">
        <v>593</v>
      </c>
      <c r="K26" s="5" t="s">
        <v>352</v>
      </c>
      <c r="L26" s="5"/>
      <c r="M26" s="5"/>
      <c r="N26" s="5"/>
      <c r="O26" s="5"/>
      <c r="P26" s="5"/>
      <c r="Q26" s="5"/>
      <c r="R26" s="5"/>
      <c r="S26" s="5"/>
      <c r="T26" s="5"/>
      <c r="U26" t="s">
        <v>177</v>
      </c>
      <c r="V26" s="56" t="s">
        <v>353</v>
      </c>
      <c r="W26" s="57" t="s">
        <v>354</v>
      </c>
      <c r="X26" s="57" t="s">
        <v>355</v>
      </c>
      <c r="Y26" s="60"/>
      <c r="Z26" s="60"/>
      <c r="AA26" s="60"/>
      <c r="AB26" s="60"/>
      <c r="AC26" s="60"/>
      <c r="AF26" s="3" t="s">
        <v>356</v>
      </c>
      <c r="AG26" s="3" t="s">
        <v>296</v>
      </c>
      <c r="AH26" s="3">
        <v>372</v>
      </c>
      <c r="AI26" s="3" t="s">
        <v>314</v>
      </c>
      <c r="AP26" s="3" t="s">
        <v>356</v>
      </c>
      <c r="AQ26" s="3" t="s">
        <v>357</v>
      </c>
      <c r="AR26" s="14">
        <v>531</v>
      </c>
      <c r="AS26" s="3" t="s">
        <v>271</v>
      </c>
      <c r="AU26" s="3" t="s">
        <v>356</v>
      </c>
      <c r="AV26" s="2" t="s">
        <v>358</v>
      </c>
      <c r="AW26" s="14">
        <v>549</v>
      </c>
      <c r="AX26" s="3" t="s">
        <v>280</v>
      </c>
      <c r="AZ26" s="3" t="s">
        <v>356</v>
      </c>
      <c r="BA26" s="3" t="s">
        <v>359</v>
      </c>
      <c r="BB26" s="26">
        <v>582</v>
      </c>
      <c r="BC26" s="3" t="s">
        <v>331</v>
      </c>
      <c r="BE26" s="3" t="s">
        <v>356</v>
      </c>
      <c r="BF26" s="22" t="s">
        <v>360</v>
      </c>
      <c r="BG26" s="18">
        <v>601</v>
      </c>
      <c r="BH26" s="3" t="s">
        <v>343</v>
      </c>
    </row>
    <row r="27" spans="1:60">
      <c r="A27" s="1" t="s">
        <v>68</v>
      </c>
      <c r="B27" s="2" t="s">
        <v>65</v>
      </c>
      <c r="C27" s="2" t="s">
        <v>361</v>
      </c>
      <c r="D27" s="2">
        <v>1070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t="s">
        <v>196</v>
      </c>
      <c r="V27" s="56" t="s">
        <v>362</v>
      </c>
      <c r="W27" s="57" t="s">
        <v>363</v>
      </c>
      <c r="X27" s="57" t="s">
        <v>364</v>
      </c>
      <c r="Y27" s="60"/>
      <c r="Z27" s="60"/>
      <c r="AA27" s="60"/>
      <c r="AB27" s="60"/>
      <c r="AC27" s="60"/>
      <c r="AF27" s="3" t="s">
        <v>365</v>
      </c>
      <c r="AG27" s="3" t="s">
        <v>306</v>
      </c>
      <c r="AH27" s="3">
        <v>373</v>
      </c>
      <c r="AI27" s="3" t="s">
        <v>314</v>
      </c>
      <c r="AP27" s="3" t="s">
        <v>365</v>
      </c>
      <c r="AQ27" s="3" t="s">
        <v>366</v>
      </c>
      <c r="AR27" s="14">
        <v>532</v>
      </c>
      <c r="AS27" s="3" t="s">
        <v>271</v>
      </c>
      <c r="AU27" s="3" t="s">
        <v>365</v>
      </c>
      <c r="AV27" s="2" t="s">
        <v>367</v>
      </c>
      <c r="AW27" s="14">
        <v>550</v>
      </c>
      <c r="AX27" s="3" t="s">
        <v>280</v>
      </c>
      <c r="AZ27" s="3" t="s">
        <v>365</v>
      </c>
      <c r="BA27" s="3" t="s">
        <v>368</v>
      </c>
      <c r="BB27" s="26">
        <v>583</v>
      </c>
      <c r="BC27" s="3" t="s">
        <v>331</v>
      </c>
      <c r="BE27" s="3" t="s">
        <v>365</v>
      </c>
      <c r="BF27" s="22" t="s">
        <v>369</v>
      </c>
      <c r="BG27" s="18">
        <v>600</v>
      </c>
      <c r="BH27" s="3" t="s">
        <v>343</v>
      </c>
    </row>
    <row r="28" spans="1:60">
      <c r="A28" s="1" t="s">
        <v>68</v>
      </c>
      <c r="B28" s="2" t="s">
        <v>65</v>
      </c>
      <c r="C28" s="2" t="s">
        <v>370</v>
      </c>
      <c r="D28" s="2">
        <v>740</v>
      </c>
      <c r="E28" s="2" t="s">
        <v>371</v>
      </c>
      <c r="F28" s="2">
        <v>741</v>
      </c>
      <c r="G28" s="2" t="s">
        <v>372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t="s">
        <v>217</v>
      </c>
      <c r="V28" s="56" t="s">
        <v>373</v>
      </c>
      <c r="W28" s="57" t="s">
        <v>374</v>
      </c>
      <c r="X28" s="57" t="s">
        <v>375</v>
      </c>
      <c r="Y28" s="60"/>
      <c r="Z28" s="60"/>
      <c r="AA28" s="60"/>
      <c r="AB28" s="60"/>
      <c r="AC28" s="60"/>
      <c r="AF28" s="3" t="s">
        <v>376</v>
      </c>
      <c r="AG28" s="13" t="s">
        <v>120</v>
      </c>
      <c r="AI28" s="3" t="s">
        <v>63</v>
      </c>
      <c r="AP28" s="3" t="s">
        <v>376</v>
      </c>
      <c r="AQ28" s="3" t="s">
        <v>377</v>
      </c>
      <c r="AR28" s="26">
        <v>533</v>
      </c>
      <c r="AS28" s="3" t="s">
        <v>271</v>
      </c>
      <c r="AU28" s="3" t="s">
        <v>378</v>
      </c>
      <c r="AV28" s="2" t="s">
        <v>379</v>
      </c>
      <c r="AW28" s="14">
        <v>551</v>
      </c>
      <c r="AX28" s="3" t="s">
        <v>280</v>
      </c>
      <c r="AZ28" s="3" t="s">
        <v>376</v>
      </c>
      <c r="BA28" s="3" t="s">
        <v>380</v>
      </c>
      <c r="BB28" s="26">
        <v>584</v>
      </c>
      <c r="BC28" s="3" t="s">
        <v>331</v>
      </c>
      <c r="BE28" s="3" t="s">
        <v>376</v>
      </c>
      <c r="BF28" s="42" t="s">
        <v>381</v>
      </c>
      <c r="BG28" s="43">
        <v>602</v>
      </c>
      <c r="BH28" s="3" t="s">
        <v>343</v>
      </c>
    </row>
    <row r="29" spans="1:60">
      <c r="A29" s="1" t="s">
        <v>68</v>
      </c>
      <c r="B29" s="2" t="s">
        <v>382</v>
      </c>
      <c r="C29" s="2" t="s">
        <v>383</v>
      </c>
      <c r="D29" s="2">
        <v>1071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t="s">
        <v>231</v>
      </c>
      <c r="V29" s="56" t="s">
        <v>384</v>
      </c>
      <c r="W29" s="57" t="s">
        <v>385</v>
      </c>
      <c r="X29" s="57" t="s">
        <v>386</v>
      </c>
      <c r="Y29" s="60"/>
      <c r="Z29" s="60"/>
      <c r="AA29" s="60"/>
      <c r="AB29" s="60"/>
      <c r="AC29" s="60"/>
      <c r="AF29" s="3" t="s">
        <v>378</v>
      </c>
      <c r="AG29" s="3" t="s">
        <v>387</v>
      </c>
      <c r="AH29" s="3">
        <v>374</v>
      </c>
      <c r="AI29" s="3" t="s">
        <v>376</v>
      </c>
      <c r="AR29" s="14"/>
      <c r="AU29" s="3" t="s">
        <v>388</v>
      </c>
      <c r="AV29" s="2" t="s">
        <v>389</v>
      </c>
      <c r="AW29" s="14">
        <v>552</v>
      </c>
      <c r="AX29" s="3" t="s">
        <v>280</v>
      </c>
      <c r="AZ29" s="3" t="s">
        <v>378</v>
      </c>
      <c r="BA29" s="3" t="s">
        <v>390</v>
      </c>
      <c r="BB29" s="26">
        <v>586</v>
      </c>
      <c r="BC29" s="3" t="s">
        <v>331</v>
      </c>
      <c r="BE29" s="3" t="s">
        <v>378</v>
      </c>
      <c r="BF29" s="42" t="s">
        <v>391</v>
      </c>
      <c r="BG29" s="43">
        <v>448</v>
      </c>
      <c r="BH29" s="3" t="s">
        <v>343</v>
      </c>
    </row>
    <row r="30" spans="1:60" ht="15.75">
      <c r="A30" s="1" t="s">
        <v>68</v>
      </c>
      <c r="B30" s="2" t="s">
        <v>382</v>
      </c>
      <c r="C30" s="2" t="s">
        <v>392</v>
      </c>
      <c r="D30" s="2">
        <v>1072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8"/>
      <c r="V30" s="18"/>
      <c r="W30" s="18"/>
      <c r="X30" s="18"/>
      <c r="AF30" s="3" t="s">
        <v>388</v>
      </c>
      <c r="AG30" s="3" t="s">
        <v>393</v>
      </c>
      <c r="AH30" s="3">
        <v>375</v>
      </c>
      <c r="AI30" s="3" t="s">
        <v>376</v>
      </c>
      <c r="AR30" s="14"/>
      <c r="AU30" s="3" t="s">
        <v>394</v>
      </c>
      <c r="AV30" s="2" t="s">
        <v>395</v>
      </c>
      <c r="AW30" s="14">
        <v>553</v>
      </c>
      <c r="AX30" s="3" t="s">
        <v>280</v>
      </c>
      <c r="AZ30" s="3" t="s">
        <v>388</v>
      </c>
      <c r="BA30" s="3" t="s">
        <v>396</v>
      </c>
      <c r="BB30" s="12">
        <v>587</v>
      </c>
      <c r="BC30" s="3" t="s">
        <v>331</v>
      </c>
      <c r="BE30" s="3" t="s">
        <v>388</v>
      </c>
      <c r="BF30" s="30" t="s">
        <v>397</v>
      </c>
      <c r="BG30" s="18"/>
      <c r="BH30" s="3" t="s">
        <v>145</v>
      </c>
    </row>
    <row r="31" spans="1:60">
      <c r="A31" s="1" t="s">
        <v>68</v>
      </c>
      <c r="B31" s="2" t="s">
        <v>382</v>
      </c>
      <c r="C31" s="2" t="s">
        <v>398</v>
      </c>
      <c r="D31" s="2">
        <v>1073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64" t="s">
        <v>399</v>
      </c>
      <c r="V31" s="65"/>
      <c r="W31" s="65"/>
      <c r="X31" s="65"/>
      <c r="Y31" s="59"/>
      <c r="AF31" s="3" t="s">
        <v>394</v>
      </c>
      <c r="AG31" s="3" t="s">
        <v>400</v>
      </c>
      <c r="AH31" s="3">
        <v>376</v>
      </c>
      <c r="AI31" s="3" t="s">
        <v>376</v>
      </c>
      <c r="AL31" s="13"/>
      <c r="AU31" s="3" t="s">
        <v>401</v>
      </c>
      <c r="AV31" s="2" t="s">
        <v>402</v>
      </c>
      <c r="AW31" s="14">
        <v>554</v>
      </c>
      <c r="AX31" s="3" t="s">
        <v>280</v>
      </c>
      <c r="AZ31" s="3" t="s">
        <v>394</v>
      </c>
      <c r="BA31" s="13" t="s">
        <v>382</v>
      </c>
      <c r="BB31" s="14"/>
      <c r="BE31" s="3" t="s">
        <v>394</v>
      </c>
      <c r="BF31" s="19" t="s">
        <v>191</v>
      </c>
      <c r="BG31" s="18">
        <v>603</v>
      </c>
      <c r="BH31" s="3" t="s">
        <v>388</v>
      </c>
    </row>
    <row r="32" spans="1:60">
      <c r="A32" s="1" t="s">
        <v>68</v>
      </c>
      <c r="B32" s="2" t="s">
        <v>382</v>
      </c>
      <c r="C32" s="2" t="s">
        <v>403</v>
      </c>
      <c r="D32" s="2">
        <v>1074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t="s">
        <v>51</v>
      </c>
      <c r="V32" t="s">
        <v>404</v>
      </c>
      <c r="W32" t="s">
        <v>405</v>
      </c>
      <c r="X32" t="s">
        <v>406</v>
      </c>
      <c r="Y32" t="s">
        <v>37</v>
      </c>
      <c r="AF32" s="3" t="s">
        <v>401</v>
      </c>
      <c r="AG32" s="3" t="s">
        <v>407</v>
      </c>
      <c r="AH32" s="3">
        <v>377</v>
      </c>
      <c r="AI32" s="3" t="s">
        <v>376</v>
      </c>
      <c r="AU32" s="3" t="s">
        <v>408</v>
      </c>
      <c r="AV32" s="2" t="s">
        <v>409</v>
      </c>
      <c r="AW32" s="14">
        <v>555</v>
      </c>
      <c r="AX32" s="3" t="s">
        <v>280</v>
      </c>
      <c r="AZ32" s="3" t="s">
        <v>401</v>
      </c>
      <c r="BA32" s="3" t="s">
        <v>410</v>
      </c>
      <c r="BB32" s="14">
        <v>588</v>
      </c>
      <c r="BC32" s="3" t="s">
        <v>394</v>
      </c>
      <c r="BE32" s="3" t="s">
        <v>401</v>
      </c>
      <c r="BF32" s="19" t="s">
        <v>244</v>
      </c>
      <c r="BG32" s="18">
        <v>490</v>
      </c>
      <c r="BH32" s="3" t="s">
        <v>388</v>
      </c>
    </row>
    <row r="33" spans="1:60">
      <c r="A33" s="1" t="s">
        <v>52</v>
      </c>
      <c r="B33" s="2" t="s">
        <v>33</v>
      </c>
      <c r="C33" s="2" t="s">
        <v>411</v>
      </c>
      <c r="D33" s="2">
        <v>594</v>
      </c>
      <c r="E33" s="2" t="s">
        <v>412</v>
      </c>
      <c r="F33" s="2">
        <v>595</v>
      </c>
      <c r="G33" s="2" t="s">
        <v>413</v>
      </c>
      <c r="H33" s="2">
        <v>596</v>
      </c>
      <c r="I33" s="2" t="s">
        <v>414</v>
      </c>
      <c r="J33" s="2">
        <v>597</v>
      </c>
      <c r="K33" s="2" t="s">
        <v>415</v>
      </c>
      <c r="L33" s="2"/>
      <c r="M33" s="2"/>
      <c r="N33" s="2"/>
      <c r="O33" s="2"/>
      <c r="P33" s="2"/>
      <c r="Q33" s="2"/>
      <c r="R33" s="2"/>
      <c r="S33" s="2"/>
      <c r="T33" s="2"/>
      <c r="U33" t="s">
        <v>62</v>
      </c>
      <c r="V33" s="57">
        <v>472</v>
      </c>
      <c r="W33" s="57">
        <v>473</v>
      </c>
      <c r="X33" s="57">
        <v>474</v>
      </c>
      <c r="Y33" s="57">
        <v>475</v>
      </c>
      <c r="AF33" s="3" t="s">
        <v>408</v>
      </c>
      <c r="AG33" s="3" t="s">
        <v>272</v>
      </c>
      <c r="AH33" s="3">
        <v>378</v>
      </c>
      <c r="AI33" s="3" t="s">
        <v>376</v>
      </c>
      <c r="AU33" s="3" t="s">
        <v>416</v>
      </c>
      <c r="AV33" s="2" t="s">
        <v>417</v>
      </c>
      <c r="AW33" s="14">
        <v>556</v>
      </c>
      <c r="AX33" s="3" t="s">
        <v>280</v>
      </c>
      <c r="AZ33" s="3" t="s">
        <v>408</v>
      </c>
      <c r="BA33" s="3" t="s">
        <v>418</v>
      </c>
      <c r="BB33" s="14">
        <v>589</v>
      </c>
      <c r="BC33" s="3" t="s">
        <v>394</v>
      </c>
      <c r="BE33" s="3" t="s">
        <v>408</v>
      </c>
      <c r="BF33" s="19" t="s">
        <v>263</v>
      </c>
      <c r="BG33" s="18">
        <v>489</v>
      </c>
      <c r="BH33" s="3" t="s">
        <v>388</v>
      </c>
    </row>
    <row r="34" spans="1:60">
      <c r="A34" s="1" t="s">
        <v>52</v>
      </c>
      <c r="B34" s="2" t="s">
        <v>33</v>
      </c>
      <c r="C34" s="2" t="s">
        <v>419</v>
      </c>
      <c r="D34" s="2">
        <v>598</v>
      </c>
      <c r="E34" s="2" t="s">
        <v>420</v>
      </c>
      <c r="F34" s="2">
        <v>599</v>
      </c>
      <c r="G34" s="2" t="s">
        <v>421</v>
      </c>
      <c r="H34" s="2">
        <v>600</v>
      </c>
      <c r="I34" s="2" t="s">
        <v>422</v>
      </c>
      <c r="J34" s="2">
        <v>601</v>
      </c>
      <c r="K34" s="2" t="s">
        <v>423</v>
      </c>
      <c r="L34" s="38">
        <v>755</v>
      </c>
      <c r="M34" s="38" t="s">
        <v>424</v>
      </c>
      <c r="N34" s="38">
        <v>756</v>
      </c>
      <c r="O34" s="38" t="s">
        <v>425</v>
      </c>
      <c r="P34" s="2"/>
      <c r="Q34" s="2"/>
      <c r="R34" s="2"/>
      <c r="S34" s="2"/>
      <c r="T34" s="2"/>
      <c r="U34" t="s">
        <v>291</v>
      </c>
      <c r="V34" s="56" t="s">
        <v>426</v>
      </c>
      <c r="W34" s="57" t="s">
        <v>427</v>
      </c>
      <c r="X34" s="57" t="s">
        <v>428</v>
      </c>
      <c r="Y34" s="57" t="s">
        <v>429</v>
      </c>
      <c r="AF34" s="3" t="s">
        <v>416</v>
      </c>
      <c r="AG34" s="3" t="s">
        <v>281</v>
      </c>
      <c r="AH34" s="3">
        <v>379</v>
      </c>
      <c r="AI34" s="3" t="s">
        <v>376</v>
      </c>
      <c r="AU34" s="3" t="s">
        <v>430</v>
      </c>
      <c r="AV34" s="2" t="s">
        <v>431</v>
      </c>
      <c r="AW34" s="12">
        <v>557</v>
      </c>
      <c r="AX34" s="3" t="s">
        <v>280</v>
      </c>
      <c r="AZ34" s="3" t="s">
        <v>416</v>
      </c>
      <c r="BA34" s="13" t="s">
        <v>432</v>
      </c>
      <c r="BB34" s="12"/>
      <c r="BC34" s="3" t="s">
        <v>63</v>
      </c>
      <c r="BE34" s="3" t="s">
        <v>416</v>
      </c>
      <c r="BF34" s="22" t="s">
        <v>190</v>
      </c>
      <c r="BG34" s="18">
        <v>579</v>
      </c>
      <c r="BH34" s="3" t="s">
        <v>388</v>
      </c>
    </row>
    <row r="35" spans="1:60">
      <c r="A35" s="1" t="s">
        <v>52</v>
      </c>
      <c r="B35" s="2" t="s">
        <v>33</v>
      </c>
      <c r="C35" s="2" t="s">
        <v>258</v>
      </c>
      <c r="D35" s="2">
        <v>602</v>
      </c>
      <c r="E35" s="2" t="s">
        <v>433</v>
      </c>
      <c r="F35" s="2">
        <v>603</v>
      </c>
      <c r="G35" s="2" t="s">
        <v>434</v>
      </c>
      <c r="H35" s="2">
        <v>604</v>
      </c>
      <c r="I35" s="2" t="s">
        <v>435</v>
      </c>
      <c r="J35" s="2">
        <v>605</v>
      </c>
      <c r="K35" s="2" t="s">
        <v>436</v>
      </c>
      <c r="L35" s="2"/>
      <c r="M35" s="2"/>
      <c r="N35" s="2"/>
      <c r="O35" s="2"/>
      <c r="P35" s="2"/>
      <c r="Q35" s="2"/>
      <c r="R35" s="2"/>
      <c r="S35" s="2"/>
      <c r="T35" s="2"/>
      <c r="U35" t="s">
        <v>89</v>
      </c>
      <c r="V35" s="56" t="s">
        <v>437</v>
      </c>
      <c r="W35" s="57" t="s">
        <v>438</v>
      </c>
      <c r="X35" s="57" t="s">
        <v>439</v>
      </c>
      <c r="Y35" s="57" t="s">
        <v>440</v>
      </c>
      <c r="AF35" s="3" t="s">
        <v>430</v>
      </c>
      <c r="AG35" s="3" t="s">
        <v>296</v>
      </c>
      <c r="AH35" s="3">
        <v>380</v>
      </c>
      <c r="AI35" s="3" t="s">
        <v>376</v>
      </c>
      <c r="AU35" s="3" t="s">
        <v>441</v>
      </c>
      <c r="AV35" s="2" t="s">
        <v>442</v>
      </c>
      <c r="AW35" s="14">
        <v>558</v>
      </c>
      <c r="AX35" s="3" t="s">
        <v>280</v>
      </c>
      <c r="AZ35" s="3" t="s">
        <v>430</v>
      </c>
      <c r="BA35" s="3" t="s">
        <v>443</v>
      </c>
      <c r="BB35" s="12">
        <v>629</v>
      </c>
      <c r="BC35" s="3" t="s">
        <v>416</v>
      </c>
      <c r="BE35" s="3" t="s">
        <v>430</v>
      </c>
      <c r="BF35" s="21" t="s">
        <v>444</v>
      </c>
      <c r="BG35" s="18">
        <v>580</v>
      </c>
      <c r="BH35" s="3" t="s">
        <v>388</v>
      </c>
    </row>
    <row r="36" spans="1:60">
      <c r="A36" s="1" t="s">
        <v>52</v>
      </c>
      <c r="B36" s="2" t="s">
        <v>33</v>
      </c>
      <c r="C36" s="2" t="s">
        <v>445</v>
      </c>
      <c r="D36" s="2">
        <v>606</v>
      </c>
      <c r="E36" s="2" t="s">
        <v>171</v>
      </c>
      <c r="F36" s="2">
        <v>607</v>
      </c>
      <c r="G36" s="2" t="s">
        <v>446</v>
      </c>
      <c r="H36" s="2">
        <v>608</v>
      </c>
      <c r="I36" s="2" t="s">
        <v>447</v>
      </c>
      <c r="J36" s="2">
        <v>609</v>
      </c>
      <c r="K36" s="2" t="s">
        <v>448</v>
      </c>
      <c r="L36" s="2">
        <v>610</v>
      </c>
      <c r="M36" s="2" t="s">
        <v>449</v>
      </c>
      <c r="N36" s="2"/>
      <c r="O36" s="2"/>
      <c r="P36" s="2"/>
      <c r="Q36" s="2"/>
      <c r="R36" s="2"/>
      <c r="S36" s="2"/>
      <c r="T36" s="2"/>
      <c r="U36" t="s">
        <v>104</v>
      </c>
      <c r="V36" s="56" t="s">
        <v>450</v>
      </c>
      <c r="W36" s="57" t="s">
        <v>451</v>
      </c>
      <c r="X36" s="57" t="s">
        <v>452</v>
      </c>
      <c r="Y36" s="57" t="s">
        <v>453</v>
      </c>
      <c r="AB36" s="24"/>
      <c r="AC36" s="24"/>
      <c r="AF36" s="3" t="s">
        <v>441</v>
      </c>
      <c r="AG36" s="3" t="s">
        <v>306</v>
      </c>
      <c r="AH36" s="3">
        <v>381</v>
      </c>
      <c r="AI36" s="3" t="s">
        <v>376</v>
      </c>
      <c r="AL36" s="13"/>
      <c r="AU36" s="3" t="s">
        <v>454</v>
      </c>
      <c r="AV36" s="2" t="s">
        <v>455</v>
      </c>
      <c r="AW36" s="14">
        <v>559</v>
      </c>
      <c r="AX36" s="3" t="s">
        <v>280</v>
      </c>
      <c r="AZ36" s="3" t="s">
        <v>441</v>
      </c>
      <c r="BA36" s="3" t="s">
        <v>176</v>
      </c>
      <c r="BB36" s="12">
        <v>630</v>
      </c>
      <c r="BC36" s="3" t="s">
        <v>416</v>
      </c>
      <c r="BE36" s="3" t="s">
        <v>441</v>
      </c>
      <c r="BF36" s="19" t="s">
        <v>456</v>
      </c>
      <c r="BG36" s="18">
        <v>562</v>
      </c>
      <c r="BH36" s="3" t="s">
        <v>388</v>
      </c>
    </row>
    <row r="37" spans="1:60">
      <c r="A37" s="1" t="s">
        <v>52</v>
      </c>
      <c r="B37" s="2" t="s">
        <v>33</v>
      </c>
      <c r="C37" s="2" t="s">
        <v>120</v>
      </c>
      <c r="D37" s="2">
        <v>611</v>
      </c>
      <c r="E37" s="2" t="s">
        <v>457</v>
      </c>
      <c r="F37" s="2">
        <v>612</v>
      </c>
      <c r="G37" s="2" t="s">
        <v>458</v>
      </c>
      <c r="H37" s="2">
        <v>613</v>
      </c>
      <c r="I37" s="2" t="s">
        <v>459</v>
      </c>
      <c r="J37" s="2">
        <v>614</v>
      </c>
      <c r="K37" s="2" t="s">
        <v>460</v>
      </c>
      <c r="L37" s="2">
        <v>615</v>
      </c>
      <c r="M37" s="2" t="s">
        <v>461</v>
      </c>
      <c r="N37" s="2">
        <v>616</v>
      </c>
      <c r="O37" s="2" t="s">
        <v>462</v>
      </c>
      <c r="P37" s="2">
        <v>617</v>
      </c>
      <c r="Q37" s="2" t="s">
        <v>463</v>
      </c>
      <c r="R37" s="2">
        <v>618</v>
      </c>
      <c r="S37" s="2" t="s">
        <v>464</v>
      </c>
      <c r="T37" s="2"/>
      <c r="U37" t="s">
        <v>122</v>
      </c>
      <c r="V37" s="56" t="s">
        <v>465</v>
      </c>
      <c r="W37" s="57" t="s">
        <v>466</v>
      </c>
      <c r="X37" s="57" t="s">
        <v>467</v>
      </c>
      <c r="Y37" s="57" t="s">
        <v>468</v>
      </c>
      <c r="AB37" s="16"/>
      <c r="AC37" s="16"/>
      <c r="AF37" s="3" t="s">
        <v>454</v>
      </c>
      <c r="AG37" s="3" t="s">
        <v>288</v>
      </c>
      <c r="AH37" s="12">
        <v>626</v>
      </c>
      <c r="AI37" s="3" t="s">
        <v>376</v>
      </c>
      <c r="AU37" s="3" t="s">
        <v>469</v>
      </c>
      <c r="AV37" s="2" t="s">
        <v>470</v>
      </c>
      <c r="AW37" s="14">
        <v>560</v>
      </c>
      <c r="AX37" s="3" t="s">
        <v>280</v>
      </c>
      <c r="BB37" s="26"/>
      <c r="BE37" s="3" t="s">
        <v>454</v>
      </c>
      <c r="BF37" s="19" t="s">
        <v>471</v>
      </c>
      <c r="BG37" s="18">
        <v>565</v>
      </c>
      <c r="BH37" s="3" t="s">
        <v>388</v>
      </c>
    </row>
    <row r="38" spans="1:60">
      <c r="A38" s="1" t="s">
        <v>52</v>
      </c>
      <c r="B38" s="2" t="s">
        <v>33</v>
      </c>
      <c r="C38" s="2" t="s">
        <v>472</v>
      </c>
      <c r="D38" s="2">
        <v>619</v>
      </c>
      <c r="E38" s="2" t="s">
        <v>473</v>
      </c>
      <c r="F38" s="2">
        <v>620</v>
      </c>
      <c r="G38" s="2" t="s">
        <v>474</v>
      </c>
      <c r="H38" s="2">
        <v>621</v>
      </c>
      <c r="I38" s="2" t="s">
        <v>475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t="s">
        <v>139</v>
      </c>
      <c r="V38" s="56" t="s">
        <v>476</v>
      </c>
      <c r="W38" s="57" t="s">
        <v>477</v>
      </c>
      <c r="X38" s="57" t="s">
        <v>478</v>
      </c>
      <c r="Y38" s="57" t="s">
        <v>479</v>
      </c>
      <c r="AB38" s="16"/>
      <c r="AC38" s="16"/>
      <c r="AF38" s="3" t="s">
        <v>469</v>
      </c>
      <c r="AG38" s="3" t="s">
        <v>289</v>
      </c>
      <c r="AH38" s="14">
        <v>627</v>
      </c>
      <c r="AI38" s="3" t="s">
        <v>376</v>
      </c>
      <c r="AU38" s="3" t="s">
        <v>480</v>
      </c>
      <c r="AV38" s="2" t="s">
        <v>481</v>
      </c>
      <c r="AW38" s="14">
        <v>561</v>
      </c>
      <c r="AX38" s="3" t="s">
        <v>280</v>
      </c>
      <c r="BB38" s="26"/>
      <c r="BE38" s="3" t="s">
        <v>469</v>
      </c>
      <c r="BF38" s="19" t="s">
        <v>482</v>
      </c>
      <c r="BG38" s="18">
        <v>514</v>
      </c>
      <c r="BH38" s="3" t="s">
        <v>388</v>
      </c>
    </row>
    <row r="39" spans="1:60">
      <c r="A39" s="1" t="s">
        <v>52</v>
      </c>
      <c r="B39" s="2" t="s">
        <v>483</v>
      </c>
      <c r="C39" s="2" t="s">
        <v>484</v>
      </c>
      <c r="D39" s="2">
        <v>623</v>
      </c>
      <c r="E39" s="2" t="s">
        <v>485</v>
      </c>
      <c r="F39" s="2">
        <v>624</v>
      </c>
      <c r="G39" s="2" t="s">
        <v>486</v>
      </c>
      <c r="H39" s="2">
        <v>625</v>
      </c>
      <c r="I39" s="2" t="s">
        <v>487</v>
      </c>
      <c r="J39" s="2">
        <v>626</v>
      </c>
      <c r="K39" s="2" t="s">
        <v>488</v>
      </c>
      <c r="L39" s="2"/>
      <c r="M39" s="2"/>
      <c r="N39" s="2"/>
      <c r="O39" s="2"/>
      <c r="P39" s="2"/>
      <c r="Q39" s="2"/>
      <c r="R39" s="2"/>
      <c r="S39" s="2"/>
      <c r="T39" s="2"/>
      <c r="U39" t="s">
        <v>161</v>
      </c>
      <c r="V39" s="56" t="s">
        <v>489</v>
      </c>
      <c r="W39" s="57" t="s">
        <v>490</v>
      </c>
      <c r="X39" s="57" t="s">
        <v>491</v>
      </c>
      <c r="Y39" s="57" t="s">
        <v>492</v>
      </c>
      <c r="AB39" s="17"/>
      <c r="AC39" s="17"/>
      <c r="AF39" s="3" t="s">
        <v>480</v>
      </c>
      <c r="AG39" s="3" t="s">
        <v>290</v>
      </c>
      <c r="AH39" s="12">
        <v>628</v>
      </c>
      <c r="AI39" s="3" t="s">
        <v>376</v>
      </c>
      <c r="AU39" s="3" t="s">
        <v>493</v>
      </c>
      <c r="AV39" s="13" t="s">
        <v>494</v>
      </c>
      <c r="AW39" s="12"/>
      <c r="AX39" s="3" t="s">
        <v>271</v>
      </c>
      <c r="BB39" s="26"/>
      <c r="BE39" s="3" t="s">
        <v>480</v>
      </c>
      <c r="BF39" s="19" t="s">
        <v>495</v>
      </c>
      <c r="BG39" s="18">
        <v>525</v>
      </c>
      <c r="BH39" s="3" t="s">
        <v>388</v>
      </c>
    </row>
    <row r="40" spans="1:60">
      <c r="A40" s="1" t="s">
        <v>52</v>
      </c>
      <c r="B40" s="2" t="s">
        <v>483</v>
      </c>
      <c r="C40" s="2" t="s">
        <v>496</v>
      </c>
      <c r="D40" s="2">
        <v>627</v>
      </c>
      <c r="E40" s="2" t="s">
        <v>497</v>
      </c>
      <c r="F40" s="2">
        <v>628</v>
      </c>
      <c r="G40" s="2" t="s">
        <v>498</v>
      </c>
      <c r="H40" s="2">
        <v>629</v>
      </c>
      <c r="I40" s="2" t="s">
        <v>499</v>
      </c>
      <c r="J40" s="2">
        <v>630</v>
      </c>
      <c r="K40" s="2" t="s">
        <v>500</v>
      </c>
      <c r="L40" s="2"/>
      <c r="M40" s="2"/>
      <c r="N40" s="2"/>
      <c r="O40" s="2"/>
      <c r="P40" s="2"/>
      <c r="Q40" s="2"/>
      <c r="R40" s="2"/>
      <c r="S40" s="2"/>
      <c r="T40" s="2"/>
      <c r="U40" t="s">
        <v>177</v>
      </c>
      <c r="V40" s="56" t="s">
        <v>501</v>
      </c>
      <c r="W40" s="57" t="s">
        <v>502</v>
      </c>
      <c r="X40" s="57" t="s">
        <v>503</v>
      </c>
      <c r="Y40" s="57" t="s">
        <v>504</v>
      </c>
      <c r="AB40" s="15"/>
      <c r="AC40" s="15"/>
      <c r="AF40" s="3" t="s">
        <v>493</v>
      </c>
      <c r="AG40" s="13" t="s">
        <v>472</v>
      </c>
      <c r="AH40" s="14"/>
      <c r="AI40" s="3" t="s">
        <v>63</v>
      </c>
      <c r="AU40" s="3" t="s">
        <v>505</v>
      </c>
      <c r="AV40" s="3" t="s">
        <v>84</v>
      </c>
      <c r="AW40" s="14">
        <v>562</v>
      </c>
      <c r="AX40" s="3" t="s">
        <v>493</v>
      </c>
      <c r="BB40" s="26"/>
      <c r="BE40" s="3" t="s">
        <v>493</v>
      </c>
      <c r="BF40" s="19" t="s">
        <v>506</v>
      </c>
      <c r="BG40" s="18">
        <v>524</v>
      </c>
      <c r="BH40" s="3" t="s">
        <v>388</v>
      </c>
    </row>
    <row r="41" spans="1:60">
      <c r="A41" s="1" t="s">
        <v>52</v>
      </c>
      <c r="B41" s="2" t="s">
        <v>483</v>
      </c>
      <c r="C41" s="2" t="s">
        <v>507</v>
      </c>
      <c r="D41" s="2">
        <v>635</v>
      </c>
      <c r="E41" s="2" t="s">
        <v>208</v>
      </c>
      <c r="F41" s="2">
        <v>636</v>
      </c>
      <c r="G41" s="2" t="s">
        <v>508</v>
      </c>
      <c r="H41" s="2">
        <v>637</v>
      </c>
      <c r="I41" s="2" t="s">
        <v>509</v>
      </c>
      <c r="J41" s="2">
        <v>638</v>
      </c>
      <c r="K41" s="2" t="s">
        <v>510</v>
      </c>
      <c r="L41" s="2">
        <v>639</v>
      </c>
      <c r="M41" s="2" t="s">
        <v>511</v>
      </c>
      <c r="N41" s="2">
        <v>640</v>
      </c>
      <c r="O41" s="2" t="s">
        <v>512</v>
      </c>
      <c r="P41" s="2">
        <v>641</v>
      </c>
      <c r="Q41" s="2" t="s">
        <v>513</v>
      </c>
      <c r="R41" s="2">
        <v>642</v>
      </c>
      <c r="S41" s="2" t="s">
        <v>514</v>
      </c>
      <c r="T41" s="2"/>
      <c r="U41" t="s">
        <v>196</v>
      </c>
      <c r="V41" s="56" t="s">
        <v>515</v>
      </c>
      <c r="W41" s="57" t="s">
        <v>516</v>
      </c>
      <c r="X41" s="57" t="s">
        <v>517</v>
      </c>
      <c r="Y41" s="57" t="s">
        <v>518</v>
      </c>
      <c r="AB41" s="15"/>
      <c r="AC41" s="15"/>
      <c r="AF41" s="3" t="s">
        <v>505</v>
      </c>
      <c r="AG41" s="49" t="s">
        <v>473</v>
      </c>
      <c r="AH41" s="12">
        <v>382</v>
      </c>
      <c r="AI41" s="3" t="s">
        <v>493</v>
      </c>
      <c r="AU41" s="3" t="s">
        <v>519</v>
      </c>
      <c r="AV41" s="3" t="s">
        <v>520</v>
      </c>
      <c r="AW41" s="12">
        <v>563</v>
      </c>
      <c r="AX41" s="3" t="s">
        <v>493</v>
      </c>
      <c r="BB41" s="26"/>
      <c r="BE41" s="3" t="s">
        <v>505</v>
      </c>
      <c r="BF41" s="29" t="s">
        <v>521</v>
      </c>
      <c r="BG41" s="18"/>
    </row>
    <row r="42" spans="1:60">
      <c r="A42" s="1" t="s">
        <v>52</v>
      </c>
      <c r="B42" s="2" t="s">
        <v>483</v>
      </c>
      <c r="C42" s="2" t="s">
        <v>522</v>
      </c>
      <c r="D42" s="2">
        <v>747</v>
      </c>
      <c r="E42" s="3" t="s">
        <v>523</v>
      </c>
      <c r="F42" s="2">
        <v>748</v>
      </c>
      <c r="G42" s="2" t="s">
        <v>524</v>
      </c>
      <c r="H42" s="2">
        <v>749</v>
      </c>
      <c r="I42" s="2" t="s">
        <v>525</v>
      </c>
      <c r="J42" s="2">
        <v>750</v>
      </c>
      <c r="K42" s="2" t="s">
        <v>526</v>
      </c>
      <c r="L42" s="2">
        <v>751</v>
      </c>
      <c r="M42" s="2" t="s">
        <v>527</v>
      </c>
      <c r="N42" s="2">
        <v>752</v>
      </c>
      <c r="O42" s="2" t="s">
        <v>528</v>
      </c>
      <c r="P42" s="2"/>
      <c r="Q42" s="2"/>
      <c r="R42" s="2"/>
      <c r="S42" s="2"/>
      <c r="T42" s="2"/>
      <c r="U42" t="s">
        <v>217</v>
      </c>
      <c r="V42" s="56" t="s">
        <v>529</v>
      </c>
      <c r="W42" s="57" t="s">
        <v>530</v>
      </c>
      <c r="X42" s="57" t="s">
        <v>531</v>
      </c>
      <c r="Y42" s="57" t="s">
        <v>532</v>
      </c>
      <c r="AB42" s="15"/>
      <c r="AC42" s="15"/>
      <c r="AF42" s="3" t="s">
        <v>519</v>
      </c>
      <c r="AG42" s="48" t="s">
        <v>533</v>
      </c>
      <c r="AH42" s="14">
        <v>383</v>
      </c>
      <c r="AI42" s="3" t="s">
        <v>493</v>
      </c>
      <c r="AU42" s="3" t="s">
        <v>534</v>
      </c>
      <c r="AV42" s="3" t="s">
        <v>535</v>
      </c>
      <c r="AW42" s="14">
        <v>564</v>
      </c>
      <c r="AX42" s="3" t="s">
        <v>493</v>
      </c>
      <c r="BB42" s="27"/>
      <c r="BE42" s="3" t="s">
        <v>519</v>
      </c>
      <c r="BF42" s="33" t="s">
        <v>536</v>
      </c>
      <c r="BG42" s="18"/>
      <c r="BH42" s="3" t="s">
        <v>505</v>
      </c>
    </row>
    <row r="43" spans="1:60">
      <c r="A43" s="1" t="s">
        <v>52</v>
      </c>
      <c r="B43" s="2" t="s">
        <v>537</v>
      </c>
      <c r="C43" s="2" t="s">
        <v>276</v>
      </c>
      <c r="D43" s="2">
        <v>643</v>
      </c>
      <c r="E43" s="2" t="s">
        <v>457</v>
      </c>
      <c r="F43" s="2">
        <v>644</v>
      </c>
      <c r="G43" s="2" t="s">
        <v>458</v>
      </c>
      <c r="H43" s="2">
        <v>645</v>
      </c>
      <c r="I43" s="2" t="s">
        <v>538</v>
      </c>
      <c r="J43" s="2">
        <v>646</v>
      </c>
      <c r="K43" s="2" t="s">
        <v>539</v>
      </c>
      <c r="L43" s="2"/>
      <c r="M43" s="2"/>
      <c r="N43" s="2"/>
      <c r="O43" s="2"/>
      <c r="P43" s="2"/>
      <c r="Q43" s="2"/>
      <c r="R43" s="2"/>
      <c r="S43" s="2"/>
      <c r="T43" s="2"/>
      <c r="U43" t="s">
        <v>231</v>
      </c>
      <c r="V43" s="56" t="s">
        <v>540</v>
      </c>
      <c r="W43" s="57" t="s">
        <v>541</v>
      </c>
      <c r="X43" s="57" t="s">
        <v>542</v>
      </c>
      <c r="Y43" s="57" t="s">
        <v>543</v>
      </c>
      <c r="AB43" s="15"/>
      <c r="AC43" s="15"/>
      <c r="AF43" s="3" t="s">
        <v>534</v>
      </c>
      <c r="AG43" s="48" t="s">
        <v>544</v>
      </c>
      <c r="AH43" s="14">
        <v>384</v>
      </c>
      <c r="AI43" s="3" t="s">
        <v>493</v>
      </c>
      <c r="AM43" s="27"/>
      <c r="AU43" s="3" t="s">
        <v>545</v>
      </c>
      <c r="AV43" s="3" t="s">
        <v>546</v>
      </c>
      <c r="AW43" s="14">
        <v>565</v>
      </c>
      <c r="AX43" s="3" t="s">
        <v>493</v>
      </c>
      <c r="BB43" s="26"/>
      <c r="BE43" s="3" t="s">
        <v>534</v>
      </c>
      <c r="BF43" s="19" t="s">
        <v>547</v>
      </c>
      <c r="BG43" s="18">
        <v>604</v>
      </c>
      <c r="BH43" s="3" t="s">
        <v>519</v>
      </c>
    </row>
    <row r="44" spans="1:60">
      <c r="A44" s="1" t="s">
        <v>52</v>
      </c>
      <c r="B44" s="2" t="s">
        <v>537</v>
      </c>
      <c r="C44" s="2" t="s">
        <v>548</v>
      </c>
      <c r="D44" s="2">
        <v>647</v>
      </c>
      <c r="E44" s="2" t="s">
        <v>549</v>
      </c>
      <c r="F44" s="2">
        <v>648</v>
      </c>
      <c r="G44" s="2" t="s">
        <v>550</v>
      </c>
      <c r="H44" s="2">
        <v>649</v>
      </c>
      <c r="I44" s="2" t="s">
        <v>551</v>
      </c>
      <c r="J44" s="2">
        <v>650</v>
      </c>
      <c r="K44" s="2" t="s">
        <v>552</v>
      </c>
      <c r="L44" s="2">
        <v>651</v>
      </c>
      <c r="M44" s="2" t="s">
        <v>553</v>
      </c>
      <c r="N44" s="2"/>
      <c r="O44" s="2"/>
      <c r="P44" s="2"/>
      <c r="Q44" s="2"/>
      <c r="R44" s="2"/>
      <c r="S44" s="2"/>
      <c r="T44" s="2"/>
      <c r="U44" s="18"/>
      <c r="V44" s="18"/>
      <c r="W44" s="18"/>
      <c r="X44" s="18"/>
      <c r="AB44" s="15"/>
      <c r="AC44" s="15"/>
      <c r="AF44" s="3" t="s">
        <v>545</v>
      </c>
      <c r="AG44" s="13" t="s">
        <v>483</v>
      </c>
      <c r="AH44" s="14"/>
      <c r="AI44" s="3" t="s">
        <v>63</v>
      </c>
      <c r="AW44" s="12"/>
      <c r="BB44" s="26"/>
      <c r="BE44" s="3" t="s">
        <v>545</v>
      </c>
      <c r="BF44" s="41" t="s">
        <v>554</v>
      </c>
      <c r="BG44" s="18">
        <v>605</v>
      </c>
      <c r="BH44" s="3" t="s">
        <v>519</v>
      </c>
    </row>
    <row r="45" spans="1:60">
      <c r="A45" s="4" t="s">
        <v>52</v>
      </c>
      <c r="B45" s="2" t="s">
        <v>537</v>
      </c>
      <c r="C45" s="6" t="s">
        <v>555</v>
      </c>
      <c r="D45" s="6">
        <v>652</v>
      </c>
      <c r="E45" s="5" t="s">
        <v>556</v>
      </c>
      <c r="F45" s="5">
        <v>653</v>
      </c>
      <c r="G45" s="5" t="s">
        <v>557</v>
      </c>
      <c r="H45" s="5">
        <v>654</v>
      </c>
      <c r="I45" s="5" t="s">
        <v>558</v>
      </c>
      <c r="J45" s="5">
        <v>3368</v>
      </c>
      <c r="K45" s="5" t="s">
        <v>559</v>
      </c>
      <c r="L45" s="5"/>
      <c r="M45" s="5"/>
      <c r="N45" s="5"/>
      <c r="O45" s="5"/>
      <c r="P45" s="5"/>
      <c r="Q45" s="5"/>
      <c r="R45" s="5"/>
      <c r="S45" s="5"/>
      <c r="T45" s="5"/>
      <c r="U45" s="64" t="s">
        <v>560</v>
      </c>
      <c r="V45" s="65"/>
      <c r="W45" s="65"/>
      <c r="X45" s="65"/>
      <c r="Y45" s="59"/>
      <c r="AF45" s="3" t="s">
        <v>561</v>
      </c>
      <c r="AG45" s="13" t="s">
        <v>484</v>
      </c>
      <c r="AH45" s="12"/>
      <c r="AI45" s="3" t="s">
        <v>561</v>
      </c>
      <c r="AW45" s="14"/>
      <c r="BB45" s="26"/>
      <c r="BE45" s="3" t="s">
        <v>561</v>
      </c>
      <c r="BF45" s="19" t="s">
        <v>562</v>
      </c>
      <c r="BG45" s="18">
        <v>606</v>
      </c>
      <c r="BH45" s="3" t="s">
        <v>519</v>
      </c>
    </row>
    <row r="46" spans="1:60">
      <c r="A46" s="1" t="s">
        <v>52</v>
      </c>
      <c r="B46" s="2" t="s">
        <v>483</v>
      </c>
      <c r="C46" s="2" t="s">
        <v>563</v>
      </c>
      <c r="D46" s="2">
        <v>655</v>
      </c>
      <c r="E46" s="2" t="s">
        <v>564</v>
      </c>
      <c r="F46" s="2">
        <v>657</v>
      </c>
      <c r="G46" s="2" t="s">
        <v>565</v>
      </c>
      <c r="H46" s="2">
        <v>658</v>
      </c>
      <c r="I46" s="2" t="s">
        <v>566</v>
      </c>
      <c r="J46" s="2">
        <v>660</v>
      </c>
      <c r="K46" s="2" t="s">
        <v>567</v>
      </c>
      <c r="L46" s="2"/>
      <c r="M46" s="2"/>
      <c r="N46" s="2"/>
      <c r="O46" s="2"/>
      <c r="P46" s="2"/>
      <c r="Q46" s="2"/>
      <c r="R46" s="2"/>
      <c r="S46" s="2"/>
      <c r="T46" s="2"/>
      <c r="U46" t="s">
        <v>51</v>
      </c>
      <c r="V46" t="s">
        <v>568</v>
      </c>
      <c r="W46" t="s">
        <v>569</v>
      </c>
      <c r="X46" t="s">
        <v>570</v>
      </c>
      <c r="Y46" t="s">
        <v>571</v>
      </c>
      <c r="Z46" s="3" t="s">
        <v>572</v>
      </c>
      <c r="AA46" s="3" t="s">
        <v>573</v>
      </c>
      <c r="AB46" s="3" t="s">
        <v>574</v>
      </c>
      <c r="AC46" s="3" t="s">
        <v>575</v>
      </c>
      <c r="AF46" s="3" t="s">
        <v>576</v>
      </c>
      <c r="AG46" s="3" t="s">
        <v>577</v>
      </c>
      <c r="AH46" s="12">
        <v>386</v>
      </c>
      <c r="AI46" s="3" t="s">
        <v>576</v>
      </c>
      <c r="AW46" s="12"/>
      <c r="BB46" s="26"/>
      <c r="BE46" s="3" t="s">
        <v>576</v>
      </c>
      <c r="BF46" s="41" t="s">
        <v>578</v>
      </c>
      <c r="BG46" s="18">
        <v>607</v>
      </c>
      <c r="BH46" s="3" t="s">
        <v>519</v>
      </c>
    </row>
    <row r="47" spans="1:60">
      <c r="A47" s="1" t="s">
        <v>52</v>
      </c>
      <c r="B47" s="2" t="s">
        <v>553</v>
      </c>
      <c r="C47" s="2" t="s">
        <v>579</v>
      </c>
      <c r="D47" s="2">
        <v>661</v>
      </c>
      <c r="E47" s="2" t="s">
        <v>262</v>
      </c>
      <c r="F47" s="2">
        <v>662</v>
      </c>
      <c r="G47" s="2" t="s">
        <v>580</v>
      </c>
      <c r="H47" s="2">
        <v>663</v>
      </c>
      <c r="I47" s="2" t="s">
        <v>581</v>
      </c>
      <c r="J47" s="2">
        <v>664</v>
      </c>
      <c r="K47" s="2" t="s">
        <v>582</v>
      </c>
      <c r="L47" s="2"/>
      <c r="M47" s="2"/>
      <c r="N47" s="2"/>
      <c r="O47" s="2"/>
      <c r="P47" s="2"/>
      <c r="Q47" s="2"/>
      <c r="R47" s="2"/>
      <c r="S47" s="2"/>
      <c r="T47" s="2"/>
      <c r="U47" t="s">
        <v>62</v>
      </c>
      <c r="V47" s="57">
        <v>481</v>
      </c>
      <c r="W47" s="57">
        <v>482</v>
      </c>
      <c r="X47" s="57">
        <v>483</v>
      </c>
      <c r="Y47" s="57">
        <v>484</v>
      </c>
      <c r="Z47" s="58">
        <v>485</v>
      </c>
      <c r="AA47" s="58">
        <v>486</v>
      </c>
      <c r="AB47" s="58">
        <v>487</v>
      </c>
      <c r="AC47" s="58">
        <v>488</v>
      </c>
      <c r="AF47" s="3" t="s">
        <v>583</v>
      </c>
      <c r="AG47" s="3" t="s">
        <v>584</v>
      </c>
      <c r="AH47" s="12">
        <v>387</v>
      </c>
      <c r="AI47" s="3" t="s">
        <v>576</v>
      </c>
      <c r="AW47" s="14"/>
      <c r="BB47" s="26"/>
      <c r="BE47" s="3" t="s">
        <v>583</v>
      </c>
      <c r="BF47" s="33" t="s">
        <v>585</v>
      </c>
      <c r="BG47" s="18"/>
      <c r="BH47" s="3" t="s">
        <v>505</v>
      </c>
    </row>
    <row r="48" spans="1:60">
      <c r="A48" s="4" t="s">
        <v>52</v>
      </c>
      <c r="B48" s="2" t="s">
        <v>586</v>
      </c>
      <c r="C48" s="5" t="s">
        <v>587</v>
      </c>
      <c r="D48" s="5">
        <v>665</v>
      </c>
      <c r="E48" s="5" t="s">
        <v>588</v>
      </c>
      <c r="F48" s="5">
        <v>666</v>
      </c>
      <c r="G48" s="5" t="s">
        <v>589</v>
      </c>
      <c r="H48" s="5">
        <v>667</v>
      </c>
      <c r="I48" s="2" t="s">
        <v>590</v>
      </c>
      <c r="J48" s="2">
        <v>668</v>
      </c>
      <c r="K48" s="5" t="s">
        <v>591</v>
      </c>
      <c r="L48" s="2">
        <v>670</v>
      </c>
      <c r="M48" s="5" t="s">
        <v>592</v>
      </c>
      <c r="N48" s="5">
        <v>671</v>
      </c>
      <c r="O48" s="5" t="s">
        <v>593</v>
      </c>
      <c r="P48" s="5">
        <v>672</v>
      </c>
      <c r="Q48" s="5" t="s">
        <v>594</v>
      </c>
      <c r="R48" s="2"/>
      <c r="S48" s="2"/>
      <c r="T48" s="2"/>
      <c r="U48" t="s">
        <v>291</v>
      </c>
      <c r="V48" s="56" t="s">
        <v>595</v>
      </c>
      <c r="W48" s="57" t="s">
        <v>596</v>
      </c>
      <c r="X48" s="57" t="s">
        <v>597</v>
      </c>
      <c r="Y48" s="57" t="s">
        <v>598</v>
      </c>
      <c r="Z48" s="58" t="s">
        <v>599</v>
      </c>
      <c r="AA48" s="58" t="s">
        <v>600</v>
      </c>
      <c r="AB48" s="58" t="s">
        <v>601</v>
      </c>
      <c r="AC48" s="58" t="s">
        <v>602</v>
      </c>
      <c r="AF48" s="3" t="s">
        <v>603</v>
      </c>
      <c r="AG48" s="3" t="s">
        <v>604</v>
      </c>
      <c r="AH48" s="12">
        <v>388</v>
      </c>
      <c r="AI48" s="3" t="s">
        <v>576</v>
      </c>
      <c r="AW48" s="14"/>
      <c r="BB48" s="26"/>
      <c r="BE48" s="3" t="s">
        <v>603</v>
      </c>
      <c r="BF48" s="22" t="s">
        <v>605</v>
      </c>
      <c r="BG48" s="18">
        <v>406</v>
      </c>
      <c r="BH48" s="3" t="s">
        <v>583</v>
      </c>
    </row>
    <row r="49" spans="1:60">
      <c r="A49" s="4" t="s">
        <v>52</v>
      </c>
      <c r="B49" s="2" t="s">
        <v>586</v>
      </c>
      <c r="C49" s="5" t="s">
        <v>606</v>
      </c>
      <c r="D49" s="5">
        <v>673</v>
      </c>
      <c r="E49" s="5" t="s">
        <v>607</v>
      </c>
      <c r="F49" s="5">
        <v>674</v>
      </c>
      <c r="G49" s="5" t="s">
        <v>608</v>
      </c>
      <c r="H49" s="5">
        <v>675</v>
      </c>
      <c r="I49" s="5" t="s">
        <v>609</v>
      </c>
      <c r="J49" s="5">
        <v>738</v>
      </c>
      <c r="K49" s="5" t="s">
        <v>610</v>
      </c>
      <c r="L49" s="5"/>
      <c r="M49" s="5"/>
      <c r="N49" s="5"/>
      <c r="O49" s="5"/>
      <c r="P49" s="5"/>
      <c r="Q49" s="5"/>
      <c r="R49" s="5"/>
      <c r="S49" s="5"/>
      <c r="T49" s="5"/>
      <c r="U49" t="s">
        <v>89</v>
      </c>
      <c r="V49" s="56" t="s">
        <v>611</v>
      </c>
      <c r="W49" s="57" t="s">
        <v>612</v>
      </c>
      <c r="X49" s="57" t="s">
        <v>613</v>
      </c>
      <c r="Y49" s="57" t="s">
        <v>614</v>
      </c>
      <c r="Z49" s="58" t="s">
        <v>615</v>
      </c>
      <c r="AA49" s="58" t="s">
        <v>616</v>
      </c>
      <c r="AB49" s="58" t="s">
        <v>617</v>
      </c>
      <c r="AC49" s="58" t="s">
        <v>618</v>
      </c>
      <c r="AF49" s="3" t="s">
        <v>619</v>
      </c>
      <c r="AG49" s="3" t="s">
        <v>620</v>
      </c>
      <c r="AH49" s="12">
        <v>389</v>
      </c>
      <c r="AI49" s="3" t="s">
        <v>576</v>
      </c>
      <c r="AW49" s="12"/>
      <c r="BB49" s="26"/>
      <c r="BE49" s="3" t="s">
        <v>619</v>
      </c>
      <c r="BF49" s="19" t="s">
        <v>621</v>
      </c>
      <c r="BG49" s="18">
        <v>505</v>
      </c>
      <c r="BH49" s="3" t="s">
        <v>583</v>
      </c>
    </row>
    <row r="50" spans="1:60">
      <c r="A50" s="4" t="s">
        <v>52</v>
      </c>
      <c r="B50" s="2" t="s">
        <v>622</v>
      </c>
      <c r="C50" s="5" t="s">
        <v>623</v>
      </c>
      <c r="D50" s="5">
        <v>676</v>
      </c>
      <c r="E50" s="5" t="s">
        <v>624</v>
      </c>
      <c r="F50" s="5">
        <v>677</v>
      </c>
      <c r="G50" s="5" t="s">
        <v>625</v>
      </c>
      <c r="H50" s="5">
        <v>678</v>
      </c>
      <c r="I50" s="5" t="s">
        <v>626</v>
      </c>
      <c r="J50" s="5">
        <v>679</v>
      </c>
      <c r="K50" s="5" t="s">
        <v>627</v>
      </c>
      <c r="L50" s="5">
        <v>680</v>
      </c>
      <c r="M50" s="5" t="s">
        <v>628</v>
      </c>
      <c r="N50" s="5"/>
      <c r="O50" s="5"/>
      <c r="P50" s="5"/>
      <c r="Q50" s="5"/>
      <c r="R50" s="5"/>
      <c r="S50" s="5"/>
      <c r="T50" s="5"/>
      <c r="U50" t="s">
        <v>104</v>
      </c>
      <c r="V50" s="56" t="s">
        <v>629</v>
      </c>
      <c r="W50" s="57" t="s">
        <v>630</v>
      </c>
      <c r="X50" s="57" t="s">
        <v>631</v>
      </c>
      <c r="Y50" s="57" t="s">
        <v>632</v>
      </c>
      <c r="Z50" s="58" t="s">
        <v>633</v>
      </c>
      <c r="AA50" s="58" t="s">
        <v>634</v>
      </c>
      <c r="AB50" s="58" t="s">
        <v>635</v>
      </c>
      <c r="AC50" s="58" t="s">
        <v>636</v>
      </c>
      <c r="AF50" s="3" t="s">
        <v>637</v>
      </c>
      <c r="AG50" s="13" t="s">
        <v>496</v>
      </c>
      <c r="AH50" s="12"/>
      <c r="AI50" s="3" t="s">
        <v>561</v>
      </c>
      <c r="AW50" s="14"/>
      <c r="BB50" s="26"/>
      <c r="BE50" s="3" t="s">
        <v>637</v>
      </c>
      <c r="BF50" s="19" t="s">
        <v>638</v>
      </c>
      <c r="BG50" s="18">
        <v>604</v>
      </c>
      <c r="BH50" s="3" t="s">
        <v>583</v>
      </c>
    </row>
    <row r="51" spans="1:60" ht="19.149999999999999" customHeight="1">
      <c r="A51" s="4" t="s">
        <v>52</v>
      </c>
      <c r="B51" s="2" t="s">
        <v>622</v>
      </c>
      <c r="C51" s="5" t="s">
        <v>639</v>
      </c>
      <c r="D51" s="5">
        <v>753</v>
      </c>
      <c r="E51" s="5" t="s">
        <v>640</v>
      </c>
      <c r="F51" s="5">
        <v>754</v>
      </c>
      <c r="G51" s="5" t="s">
        <v>641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t="s">
        <v>122</v>
      </c>
      <c r="V51" s="56" t="s">
        <v>642</v>
      </c>
      <c r="W51" s="57" t="s">
        <v>643</v>
      </c>
      <c r="X51" s="57" t="s">
        <v>644</v>
      </c>
      <c r="Y51" s="57" t="s">
        <v>645</v>
      </c>
      <c r="Z51" s="58" t="s">
        <v>646</v>
      </c>
      <c r="AA51" s="58" t="s">
        <v>647</v>
      </c>
      <c r="AB51" s="58" t="s">
        <v>648</v>
      </c>
      <c r="AC51" s="58" t="s">
        <v>649</v>
      </c>
      <c r="AF51" s="3" t="s">
        <v>650</v>
      </c>
      <c r="AG51" s="3" t="s">
        <v>651</v>
      </c>
      <c r="AH51" s="12">
        <v>390</v>
      </c>
      <c r="AI51" s="3" t="s">
        <v>650</v>
      </c>
      <c r="AW51" s="14"/>
      <c r="BB51" s="26"/>
      <c r="BE51" s="3" t="s">
        <v>650</v>
      </c>
      <c r="BF51" s="33" t="s">
        <v>652</v>
      </c>
      <c r="BG51" s="18"/>
      <c r="BH51" s="3" t="s">
        <v>505</v>
      </c>
    </row>
    <row r="52" spans="1:60">
      <c r="A52" s="4" t="s">
        <v>52</v>
      </c>
      <c r="B52" s="2" t="s">
        <v>622</v>
      </c>
      <c r="C52" s="5" t="s">
        <v>653</v>
      </c>
      <c r="D52" s="5">
        <v>3363</v>
      </c>
      <c r="E52" s="5" t="s">
        <v>654</v>
      </c>
      <c r="F52" s="5">
        <v>3364</v>
      </c>
      <c r="G52" s="5" t="s">
        <v>641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t="s">
        <v>139</v>
      </c>
      <c r="V52" s="56" t="s">
        <v>655</v>
      </c>
      <c r="W52" s="57" t="s">
        <v>656</v>
      </c>
      <c r="X52" s="57" t="s">
        <v>657</v>
      </c>
      <c r="Y52" s="57" t="s">
        <v>658</v>
      </c>
      <c r="Z52" s="58" t="s">
        <v>659</v>
      </c>
      <c r="AA52" s="58" t="s">
        <v>660</v>
      </c>
      <c r="AB52" s="58" t="s">
        <v>661</v>
      </c>
      <c r="AC52" s="58" t="s">
        <v>662</v>
      </c>
      <c r="AF52" s="3" t="s">
        <v>663</v>
      </c>
      <c r="AG52" s="3" t="s">
        <v>664</v>
      </c>
      <c r="AH52" s="12">
        <v>391</v>
      </c>
      <c r="AI52" s="3" t="s">
        <v>650</v>
      </c>
      <c r="AW52" s="14"/>
      <c r="BB52" s="26"/>
      <c r="BE52" s="3" t="s">
        <v>663</v>
      </c>
      <c r="BF52" s="21" t="s">
        <v>665</v>
      </c>
      <c r="BG52" s="18">
        <v>501</v>
      </c>
      <c r="BH52" s="3" t="s">
        <v>650</v>
      </c>
    </row>
    <row r="53" spans="1:60">
      <c r="A53" s="4" t="s">
        <v>52</v>
      </c>
      <c r="B53" s="2" t="s">
        <v>586</v>
      </c>
      <c r="C53" s="5" t="s">
        <v>666</v>
      </c>
      <c r="D53" s="5">
        <v>683</v>
      </c>
      <c r="E53" s="5" t="s">
        <v>667</v>
      </c>
      <c r="F53" s="2">
        <v>685</v>
      </c>
      <c r="G53" s="5" t="s">
        <v>668</v>
      </c>
      <c r="H53" s="2">
        <v>684</v>
      </c>
      <c r="I53" s="2" t="s">
        <v>669</v>
      </c>
      <c r="J53" s="5">
        <v>686</v>
      </c>
      <c r="K53" s="2" t="s">
        <v>670</v>
      </c>
      <c r="L53" s="2">
        <v>687</v>
      </c>
      <c r="M53" s="5" t="s">
        <v>671</v>
      </c>
      <c r="N53" s="5">
        <v>3365</v>
      </c>
      <c r="O53" s="5" t="s">
        <v>672</v>
      </c>
      <c r="P53" s="5"/>
      <c r="Q53" s="5"/>
      <c r="R53" s="5"/>
      <c r="S53" s="5"/>
      <c r="T53" s="5"/>
      <c r="U53" t="s">
        <v>161</v>
      </c>
      <c r="V53" s="56" t="s">
        <v>673</v>
      </c>
      <c r="W53" s="57" t="s">
        <v>674</v>
      </c>
      <c r="X53" s="57" t="s">
        <v>675</v>
      </c>
      <c r="Y53" s="57" t="s">
        <v>676</v>
      </c>
      <c r="Z53" s="58" t="s">
        <v>677</v>
      </c>
      <c r="AA53" s="58" t="s">
        <v>678</v>
      </c>
      <c r="AB53" s="58" t="s">
        <v>679</v>
      </c>
      <c r="AC53" s="58" t="s">
        <v>680</v>
      </c>
      <c r="AF53" s="3" t="s">
        <v>681</v>
      </c>
      <c r="AG53" s="3" t="s">
        <v>682</v>
      </c>
      <c r="AH53" s="12">
        <v>392</v>
      </c>
      <c r="AI53" s="3" t="s">
        <v>650</v>
      </c>
      <c r="AW53" s="14"/>
      <c r="BB53" s="26"/>
      <c r="BE53" s="3" t="s">
        <v>681</v>
      </c>
      <c r="BF53" s="19" t="s">
        <v>683</v>
      </c>
      <c r="BG53" s="18">
        <v>502</v>
      </c>
      <c r="BH53" s="3" t="s">
        <v>650</v>
      </c>
    </row>
    <row r="54" spans="1:60">
      <c r="A54" s="4" t="s">
        <v>52</v>
      </c>
      <c r="B54" s="5" t="s">
        <v>684</v>
      </c>
      <c r="C54" s="5" t="s">
        <v>685</v>
      </c>
      <c r="D54" s="5">
        <v>691</v>
      </c>
      <c r="E54" s="2" t="s">
        <v>686</v>
      </c>
      <c r="F54" s="2">
        <v>692</v>
      </c>
      <c r="G54" s="2" t="s">
        <v>687</v>
      </c>
      <c r="H54" s="2">
        <v>693</v>
      </c>
      <c r="I54" s="5" t="s">
        <v>688</v>
      </c>
      <c r="J54" s="5">
        <v>694</v>
      </c>
      <c r="K54" s="5" t="s">
        <v>689</v>
      </c>
      <c r="L54" s="5"/>
      <c r="M54" s="5"/>
      <c r="N54" s="5"/>
      <c r="O54" s="5"/>
      <c r="P54" s="5"/>
      <c r="Q54" s="5"/>
      <c r="R54" s="5"/>
      <c r="S54" s="5"/>
      <c r="T54" s="5"/>
      <c r="U54" t="s">
        <v>177</v>
      </c>
      <c r="V54" s="56" t="s">
        <v>690</v>
      </c>
      <c r="W54" s="57" t="s">
        <v>691</v>
      </c>
      <c r="X54" s="57" t="s">
        <v>692</v>
      </c>
      <c r="Y54" s="57" t="s">
        <v>693</v>
      </c>
      <c r="Z54" s="58" t="s">
        <v>694</v>
      </c>
      <c r="AA54" s="58" t="s">
        <v>695</v>
      </c>
      <c r="AB54" s="58" t="s">
        <v>696</v>
      </c>
      <c r="AC54" s="58" t="s">
        <v>697</v>
      </c>
      <c r="AF54" s="3" t="s">
        <v>698</v>
      </c>
      <c r="AG54" s="3" t="s">
        <v>699</v>
      </c>
      <c r="AH54" s="12">
        <v>393</v>
      </c>
      <c r="AI54" s="3" t="s">
        <v>650</v>
      </c>
      <c r="AW54" s="14"/>
      <c r="BB54" s="26"/>
      <c r="BE54" s="3" t="s">
        <v>698</v>
      </c>
      <c r="BF54" s="19" t="s">
        <v>700</v>
      </c>
      <c r="BG54" s="18">
        <v>500</v>
      </c>
      <c r="BH54" s="3" t="s">
        <v>650</v>
      </c>
    </row>
    <row r="55" spans="1:60">
      <c r="A55" s="4" t="s">
        <v>52</v>
      </c>
      <c r="B55" s="5" t="s">
        <v>684</v>
      </c>
      <c r="C55" s="5" t="s">
        <v>701</v>
      </c>
      <c r="D55" s="5">
        <v>695</v>
      </c>
      <c r="E55" s="2" t="s">
        <v>702</v>
      </c>
      <c r="F55" s="2">
        <v>696</v>
      </c>
      <c r="G55" s="5" t="s">
        <v>703</v>
      </c>
      <c r="H55" s="5">
        <v>2296</v>
      </c>
      <c r="I55" s="5" t="s">
        <v>704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t="s">
        <v>196</v>
      </c>
      <c r="V55" s="56" t="s">
        <v>705</v>
      </c>
      <c r="W55" s="57" t="s">
        <v>706</v>
      </c>
      <c r="X55" s="57" t="s">
        <v>707</v>
      </c>
      <c r="Y55" s="57" t="s">
        <v>708</v>
      </c>
      <c r="Z55" s="58" t="s">
        <v>709</v>
      </c>
      <c r="AA55" s="58" t="s">
        <v>710</v>
      </c>
      <c r="AB55" s="58" t="s">
        <v>711</v>
      </c>
      <c r="AC55" s="58" t="s">
        <v>712</v>
      </c>
      <c r="AE55" s="24"/>
      <c r="AF55" s="3" t="s">
        <v>713</v>
      </c>
      <c r="AG55" s="13" t="s">
        <v>507</v>
      </c>
      <c r="AH55" s="12"/>
      <c r="AI55" s="3" t="s">
        <v>561</v>
      </c>
      <c r="AW55" s="14"/>
      <c r="BB55" s="26"/>
      <c r="BE55" s="3" t="s">
        <v>713</v>
      </c>
      <c r="BF55" s="22" t="s">
        <v>714</v>
      </c>
      <c r="BG55" s="18">
        <v>608</v>
      </c>
      <c r="BH55" s="3" t="s">
        <v>650</v>
      </c>
    </row>
    <row r="56" spans="1:60">
      <c r="A56" s="4" t="s">
        <v>52</v>
      </c>
      <c r="B56" s="5" t="s">
        <v>684</v>
      </c>
      <c r="C56" s="5" t="s">
        <v>715</v>
      </c>
      <c r="D56" s="5">
        <v>697</v>
      </c>
      <c r="E56" s="2" t="s">
        <v>716</v>
      </c>
      <c r="F56" s="2">
        <v>698</v>
      </c>
      <c r="G56" s="5" t="s">
        <v>717</v>
      </c>
      <c r="H56" s="5">
        <v>699</v>
      </c>
      <c r="I56" s="5" t="s">
        <v>718</v>
      </c>
      <c r="J56" s="5">
        <v>700</v>
      </c>
      <c r="K56" s="5" t="s">
        <v>719</v>
      </c>
      <c r="L56" s="5">
        <v>701</v>
      </c>
      <c r="M56" s="5" t="s">
        <v>720</v>
      </c>
      <c r="N56" s="5">
        <v>2283</v>
      </c>
      <c r="O56" s="5" t="s">
        <v>721</v>
      </c>
      <c r="P56" s="5">
        <v>2284</v>
      </c>
      <c r="Q56" s="5" t="s">
        <v>722</v>
      </c>
      <c r="R56" s="5">
        <v>2285</v>
      </c>
      <c r="S56" s="5" t="s">
        <v>723</v>
      </c>
      <c r="T56" s="5"/>
      <c r="U56" t="s">
        <v>217</v>
      </c>
      <c r="V56" s="56" t="s">
        <v>724</v>
      </c>
      <c r="W56" s="57" t="s">
        <v>725</v>
      </c>
      <c r="X56" s="57" t="s">
        <v>726</v>
      </c>
      <c r="Y56" s="57" t="s">
        <v>727</v>
      </c>
      <c r="Z56" s="58" t="s">
        <v>728</v>
      </c>
      <c r="AA56" s="58" t="s">
        <v>729</v>
      </c>
      <c r="AB56" s="58" t="s">
        <v>730</v>
      </c>
      <c r="AC56" s="58" t="s">
        <v>731</v>
      </c>
      <c r="AE56" s="51"/>
      <c r="AF56" s="3" t="s">
        <v>732</v>
      </c>
      <c r="AG56" s="3" t="s">
        <v>733</v>
      </c>
      <c r="AH56" s="12">
        <v>398</v>
      </c>
      <c r="AI56" s="3" t="s">
        <v>732</v>
      </c>
      <c r="AW56" s="14"/>
      <c r="BB56" s="26"/>
      <c r="BE56" s="3" t="s">
        <v>732</v>
      </c>
      <c r="BF56" s="19" t="s">
        <v>734</v>
      </c>
      <c r="BG56" s="18">
        <v>609</v>
      </c>
      <c r="BH56" s="3" t="s">
        <v>650</v>
      </c>
    </row>
    <row r="57" spans="1:60">
      <c r="A57" s="4" t="s">
        <v>52</v>
      </c>
      <c r="B57" s="5" t="s">
        <v>684</v>
      </c>
      <c r="C57" s="5" t="s">
        <v>715</v>
      </c>
      <c r="D57" s="5">
        <v>2286</v>
      </c>
      <c r="E57" s="2" t="s">
        <v>735</v>
      </c>
      <c r="F57" s="2">
        <v>2287</v>
      </c>
      <c r="G57" s="5" t="s">
        <v>736</v>
      </c>
      <c r="H57" s="5">
        <v>2288</v>
      </c>
      <c r="I57" s="5" t="s">
        <v>737</v>
      </c>
      <c r="J57" s="5">
        <v>2289</v>
      </c>
      <c r="K57" s="5" t="s">
        <v>738</v>
      </c>
      <c r="L57" s="5">
        <v>2290</v>
      </c>
      <c r="M57" s="5" t="s">
        <v>739</v>
      </c>
      <c r="N57" s="5">
        <v>2291</v>
      </c>
      <c r="O57" s="5" t="s">
        <v>740</v>
      </c>
      <c r="P57" s="5">
        <v>2292</v>
      </c>
      <c r="Q57" s="5" t="s">
        <v>741</v>
      </c>
      <c r="R57" s="5">
        <v>2293</v>
      </c>
      <c r="S57" s="5" t="s">
        <v>742</v>
      </c>
      <c r="T57" s="5"/>
      <c r="U57" t="s">
        <v>231</v>
      </c>
      <c r="V57" s="56" t="s">
        <v>743</v>
      </c>
      <c r="W57" s="57" t="s">
        <v>744</v>
      </c>
      <c r="X57" s="57" t="s">
        <v>745</v>
      </c>
      <c r="Y57" s="57" t="s">
        <v>746</v>
      </c>
      <c r="Z57" s="58" t="s">
        <v>747</v>
      </c>
      <c r="AA57" s="58" t="s">
        <v>748</v>
      </c>
      <c r="AB57" s="58" t="s">
        <v>749</v>
      </c>
      <c r="AC57" s="58" t="s">
        <v>750</v>
      </c>
      <c r="AE57" s="15"/>
      <c r="AF57" s="3" t="s">
        <v>751</v>
      </c>
      <c r="AG57" s="3" t="s">
        <v>752</v>
      </c>
      <c r="AH57" s="12">
        <v>399</v>
      </c>
      <c r="AI57" s="3" t="s">
        <v>732</v>
      </c>
      <c r="AW57" s="14"/>
      <c r="BB57" s="26"/>
      <c r="BE57" s="3" t="s">
        <v>751</v>
      </c>
      <c r="BF57" s="33" t="s">
        <v>753</v>
      </c>
      <c r="BG57" s="18"/>
      <c r="BH57" s="3" t="s">
        <v>505</v>
      </c>
    </row>
    <row r="58" spans="1:60">
      <c r="A58" s="4" t="s">
        <v>52</v>
      </c>
      <c r="B58" s="5" t="s">
        <v>684</v>
      </c>
      <c r="C58" s="5" t="s">
        <v>715</v>
      </c>
      <c r="D58" s="5">
        <v>2294</v>
      </c>
      <c r="E58" s="2" t="s">
        <v>754</v>
      </c>
      <c r="F58" s="2">
        <v>2295</v>
      </c>
      <c r="G58" s="5" t="s">
        <v>755</v>
      </c>
      <c r="H58" s="5">
        <v>3367</v>
      </c>
      <c r="I58" s="5" t="s">
        <v>756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5"/>
      <c r="V58" s="55"/>
      <c r="W58" s="55"/>
      <c r="X58" s="55"/>
      <c r="AE58" s="11"/>
      <c r="AF58" s="3" t="s">
        <v>757</v>
      </c>
      <c r="AG58" s="3" t="s">
        <v>758</v>
      </c>
      <c r="AH58" s="12">
        <v>400</v>
      </c>
      <c r="AI58" s="3" t="s">
        <v>732</v>
      </c>
      <c r="AW58" s="14"/>
      <c r="BB58" s="26"/>
      <c r="BE58" s="3" t="s">
        <v>757</v>
      </c>
      <c r="BF58" s="21" t="s">
        <v>759</v>
      </c>
      <c r="BG58" s="18">
        <v>416</v>
      </c>
      <c r="BH58" s="3" t="s">
        <v>751</v>
      </c>
    </row>
    <row r="59" spans="1:60">
      <c r="A59" s="4" t="s">
        <v>52</v>
      </c>
      <c r="B59" s="5" t="s">
        <v>684</v>
      </c>
      <c r="C59" s="5" t="s">
        <v>760</v>
      </c>
      <c r="D59" s="5">
        <v>702</v>
      </c>
      <c r="E59" s="2" t="s">
        <v>761</v>
      </c>
      <c r="F59" s="2">
        <v>703</v>
      </c>
      <c r="G59" s="5" t="s">
        <v>762</v>
      </c>
      <c r="H59" s="5">
        <v>704</v>
      </c>
      <c r="I59" s="5" t="s">
        <v>763</v>
      </c>
      <c r="J59" s="5">
        <v>705</v>
      </c>
      <c r="K59" s="5" t="s">
        <v>717</v>
      </c>
      <c r="L59" s="5">
        <v>706</v>
      </c>
      <c r="M59" s="5" t="s">
        <v>718</v>
      </c>
      <c r="N59" s="5">
        <v>707</v>
      </c>
      <c r="O59" s="5" t="s">
        <v>719</v>
      </c>
      <c r="P59" s="5">
        <v>708</v>
      </c>
      <c r="Q59" s="5" t="s">
        <v>720</v>
      </c>
      <c r="R59" s="5">
        <v>2297</v>
      </c>
      <c r="S59" s="5" t="s">
        <v>721</v>
      </c>
      <c r="T59" s="5"/>
      <c r="U59" s="64" t="s">
        <v>764</v>
      </c>
      <c r="V59" s="65"/>
      <c r="W59" s="65"/>
      <c r="X59" s="65"/>
      <c r="Y59" s="59"/>
      <c r="AF59" s="3" t="s">
        <v>765</v>
      </c>
      <c r="AG59" s="3" t="s">
        <v>766</v>
      </c>
      <c r="AH59" s="12">
        <v>401</v>
      </c>
      <c r="AI59" s="3" t="s">
        <v>732</v>
      </c>
      <c r="AW59" s="14"/>
      <c r="BB59" s="26"/>
      <c r="BE59" s="3" t="s">
        <v>765</v>
      </c>
      <c r="BF59" s="19" t="s">
        <v>767</v>
      </c>
      <c r="BG59" s="18">
        <v>426</v>
      </c>
      <c r="BH59" s="3" t="s">
        <v>751</v>
      </c>
    </row>
    <row r="60" spans="1:60">
      <c r="A60" s="4" t="s">
        <v>52</v>
      </c>
      <c r="B60" s="5" t="s">
        <v>684</v>
      </c>
      <c r="C60" s="5" t="s">
        <v>760</v>
      </c>
      <c r="D60" s="5">
        <v>2298</v>
      </c>
      <c r="E60" s="2" t="s">
        <v>722</v>
      </c>
      <c r="F60" s="2">
        <v>2299</v>
      </c>
      <c r="G60" s="5" t="s">
        <v>723</v>
      </c>
      <c r="H60" s="5">
        <v>2300</v>
      </c>
      <c r="I60" s="5" t="s">
        <v>735</v>
      </c>
      <c r="J60" s="5">
        <v>2301</v>
      </c>
      <c r="K60" s="5" t="s">
        <v>736</v>
      </c>
      <c r="L60" s="5">
        <v>2302</v>
      </c>
      <c r="M60" s="5" t="s">
        <v>737</v>
      </c>
      <c r="N60" s="5">
        <v>2303</v>
      </c>
      <c r="O60" s="5" t="s">
        <v>738</v>
      </c>
      <c r="P60" s="5">
        <v>2304</v>
      </c>
      <c r="Q60" s="5" t="s">
        <v>739</v>
      </c>
      <c r="R60" s="5">
        <v>2305</v>
      </c>
      <c r="S60" s="5" t="s">
        <v>740</v>
      </c>
      <c r="T60" s="5"/>
      <c r="U60" t="s">
        <v>51</v>
      </c>
      <c r="V60" t="s">
        <v>768</v>
      </c>
      <c r="W60" t="s">
        <v>769</v>
      </c>
      <c r="X60" t="s">
        <v>770</v>
      </c>
      <c r="Y60" t="s">
        <v>771</v>
      </c>
      <c r="AA60" s="66"/>
      <c r="AB60" s="66"/>
      <c r="AF60" s="3" t="s">
        <v>772</v>
      </c>
      <c r="AG60" s="3" t="s">
        <v>773</v>
      </c>
      <c r="AH60" s="12">
        <v>402</v>
      </c>
      <c r="AI60" s="3" t="s">
        <v>732</v>
      </c>
      <c r="AW60" s="14"/>
      <c r="BB60" s="26"/>
      <c r="BE60" s="3" t="s">
        <v>772</v>
      </c>
      <c r="BF60" s="19" t="s">
        <v>259</v>
      </c>
      <c r="BG60" s="18">
        <v>425</v>
      </c>
      <c r="BH60" s="3" t="s">
        <v>751</v>
      </c>
    </row>
    <row r="61" spans="1:60">
      <c r="A61" s="4" t="s">
        <v>52</v>
      </c>
      <c r="B61" s="5" t="s">
        <v>684</v>
      </c>
      <c r="C61" s="5" t="s">
        <v>760</v>
      </c>
      <c r="D61" s="5">
        <v>2306</v>
      </c>
      <c r="E61" s="2" t="s">
        <v>741</v>
      </c>
      <c r="F61" s="2">
        <v>2307</v>
      </c>
      <c r="G61" s="5" t="s">
        <v>742</v>
      </c>
      <c r="H61" s="5">
        <v>2308</v>
      </c>
      <c r="I61" s="5" t="s">
        <v>754</v>
      </c>
      <c r="J61" s="5">
        <v>2309</v>
      </c>
      <c r="K61" s="5" t="s">
        <v>755</v>
      </c>
      <c r="L61" s="5">
        <v>3366</v>
      </c>
      <c r="M61" s="5" t="s">
        <v>756</v>
      </c>
      <c r="N61" s="5"/>
      <c r="O61" s="5"/>
      <c r="P61" s="5"/>
      <c r="Q61" s="5"/>
      <c r="R61" s="5"/>
      <c r="S61" s="5"/>
      <c r="T61" s="5"/>
      <c r="U61" t="s">
        <v>62</v>
      </c>
      <c r="V61" s="57">
        <v>446</v>
      </c>
      <c r="W61" s="57">
        <v>1791</v>
      </c>
      <c r="X61" s="57">
        <v>448</v>
      </c>
      <c r="Y61" s="57">
        <v>1792</v>
      </c>
      <c r="AA61" s="24"/>
      <c r="AB61" s="24"/>
      <c r="AF61" s="3" t="s">
        <v>774</v>
      </c>
      <c r="AG61" s="3" t="s">
        <v>775</v>
      </c>
      <c r="AH61" s="12">
        <v>403</v>
      </c>
      <c r="AI61" s="3" t="s">
        <v>732</v>
      </c>
      <c r="AW61" s="14"/>
      <c r="BB61" s="26"/>
      <c r="BE61" s="3" t="s">
        <v>774</v>
      </c>
      <c r="BF61" s="19" t="s">
        <v>776</v>
      </c>
      <c r="BG61" s="18">
        <v>427</v>
      </c>
      <c r="BH61" s="3" t="s">
        <v>751</v>
      </c>
    </row>
    <row r="62" spans="1:60">
      <c r="A62" s="4" t="s">
        <v>52</v>
      </c>
      <c r="B62" s="5" t="s">
        <v>684</v>
      </c>
      <c r="C62" s="2" t="s">
        <v>777</v>
      </c>
      <c r="D62" s="2">
        <v>739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t="s">
        <v>291</v>
      </c>
      <c r="V62" s="56" t="s">
        <v>778</v>
      </c>
      <c r="W62" s="57" t="s">
        <v>779</v>
      </c>
      <c r="X62" s="57" t="s">
        <v>780</v>
      </c>
      <c r="Y62" s="57" t="s">
        <v>781</v>
      </c>
      <c r="AA62" s="16"/>
      <c r="AB62" s="16"/>
      <c r="AF62" s="3" t="s">
        <v>782</v>
      </c>
      <c r="AG62" s="3" t="s">
        <v>783</v>
      </c>
      <c r="AH62" s="12">
        <v>404</v>
      </c>
      <c r="AI62" s="3" t="s">
        <v>732</v>
      </c>
      <c r="AW62" s="14"/>
      <c r="BB62" s="26"/>
      <c r="BE62" s="3" t="s">
        <v>782</v>
      </c>
      <c r="BF62" s="34" t="s">
        <v>784</v>
      </c>
      <c r="BG62" s="18"/>
      <c r="BH62" s="3" t="s">
        <v>505</v>
      </c>
    </row>
    <row r="63" spans="1:60">
      <c r="A63" s="1" t="s">
        <v>785</v>
      </c>
      <c r="B63" s="2" t="s">
        <v>55</v>
      </c>
      <c r="C63" s="2" t="s">
        <v>298</v>
      </c>
      <c r="D63" s="2">
        <v>709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t="s">
        <v>89</v>
      </c>
      <c r="V63" s="56" t="s">
        <v>786</v>
      </c>
      <c r="W63" s="57" t="s">
        <v>787</v>
      </c>
      <c r="X63" s="57" t="s">
        <v>788</v>
      </c>
      <c r="Y63" s="57" t="s">
        <v>789</v>
      </c>
      <c r="AA63" s="11"/>
      <c r="AB63" s="11"/>
      <c r="AF63" s="3" t="s">
        <v>790</v>
      </c>
      <c r="AG63" s="3" t="s">
        <v>791</v>
      </c>
      <c r="AH63" s="12">
        <v>405</v>
      </c>
      <c r="AI63" s="3" t="s">
        <v>732</v>
      </c>
      <c r="AW63" s="14"/>
      <c r="BB63" s="26"/>
      <c r="BE63" s="3" t="s">
        <v>790</v>
      </c>
      <c r="BF63" s="19" t="s">
        <v>792</v>
      </c>
      <c r="BG63" s="18">
        <v>610</v>
      </c>
      <c r="BH63" s="3" t="s">
        <v>782</v>
      </c>
    </row>
    <row r="64" spans="1:60">
      <c r="A64" s="1" t="s">
        <v>785</v>
      </c>
      <c r="B64" s="2" t="s">
        <v>55</v>
      </c>
      <c r="C64" s="2" t="s">
        <v>308</v>
      </c>
      <c r="D64" s="2">
        <v>710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t="s">
        <v>104</v>
      </c>
      <c r="V64" s="56" t="s">
        <v>793</v>
      </c>
      <c r="W64" s="57" t="s">
        <v>794</v>
      </c>
      <c r="X64" s="57" t="s">
        <v>795</v>
      </c>
      <c r="Y64" s="57" t="s">
        <v>796</v>
      </c>
      <c r="AA64" s="11"/>
      <c r="AB64" s="11"/>
      <c r="AF64" s="3" t="s">
        <v>797</v>
      </c>
      <c r="AG64" s="13" t="s">
        <v>798</v>
      </c>
      <c r="AH64" s="12"/>
      <c r="AI64" s="3" t="s">
        <v>561</v>
      </c>
      <c r="AW64" s="14"/>
      <c r="BB64" s="26"/>
      <c r="BE64" s="3" t="s">
        <v>797</v>
      </c>
      <c r="BF64" s="19" t="s">
        <v>799</v>
      </c>
      <c r="BG64" s="18">
        <v>611</v>
      </c>
      <c r="BH64" s="3" t="s">
        <v>782</v>
      </c>
    </row>
    <row r="65" spans="1:60">
      <c r="A65" s="1" t="s">
        <v>785</v>
      </c>
      <c r="B65" s="2" t="s">
        <v>55</v>
      </c>
      <c r="C65" s="2" t="s">
        <v>317</v>
      </c>
      <c r="D65" s="2">
        <v>711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t="s">
        <v>122</v>
      </c>
      <c r="V65" s="56" t="s">
        <v>800</v>
      </c>
      <c r="W65" s="57" t="s">
        <v>801</v>
      </c>
      <c r="X65" s="57" t="s">
        <v>802</v>
      </c>
      <c r="Y65" s="57" t="s">
        <v>803</v>
      </c>
      <c r="AA65" s="11"/>
      <c r="AB65" s="11"/>
      <c r="AF65" s="3" t="s">
        <v>804</v>
      </c>
      <c r="AG65" s="3" t="s">
        <v>805</v>
      </c>
      <c r="AH65" s="12">
        <v>406</v>
      </c>
      <c r="AI65" s="3" t="s">
        <v>804</v>
      </c>
      <c r="AW65" s="14"/>
      <c r="BB65" s="26"/>
      <c r="BE65" s="3" t="s">
        <v>804</v>
      </c>
      <c r="BF65" s="20" t="s">
        <v>806</v>
      </c>
      <c r="BG65" s="18">
        <v>612</v>
      </c>
      <c r="BH65" s="3" t="s">
        <v>782</v>
      </c>
    </row>
    <row r="66" spans="1:60">
      <c r="A66" s="1" t="s">
        <v>785</v>
      </c>
      <c r="B66" s="2" t="s">
        <v>55</v>
      </c>
      <c r="C66" s="2" t="s">
        <v>325</v>
      </c>
      <c r="D66" s="2">
        <v>712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t="s">
        <v>139</v>
      </c>
      <c r="V66" s="56" t="s">
        <v>807</v>
      </c>
      <c r="W66" s="57" t="s">
        <v>808</v>
      </c>
      <c r="X66" s="57" t="s">
        <v>809</v>
      </c>
      <c r="Y66" s="57" t="s">
        <v>810</v>
      </c>
      <c r="AF66" s="3" t="s">
        <v>811</v>
      </c>
      <c r="AG66" s="3" t="s">
        <v>812</v>
      </c>
      <c r="AH66" s="12">
        <v>408</v>
      </c>
      <c r="AW66" s="14"/>
      <c r="BB66" s="26"/>
      <c r="BE66" s="3" t="s">
        <v>811</v>
      </c>
      <c r="BF66" s="19" t="s">
        <v>813</v>
      </c>
      <c r="BG66" s="18">
        <v>613</v>
      </c>
      <c r="BH66" s="3" t="s">
        <v>782</v>
      </c>
    </row>
    <row r="67" spans="1:60">
      <c r="A67" s="1" t="s">
        <v>785</v>
      </c>
      <c r="B67" s="2" t="s">
        <v>55</v>
      </c>
      <c r="C67" s="2" t="s">
        <v>333</v>
      </c>
      <c r="D67" s="2">
        <v>713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t="s">
        <v>161</v>
      </c>
      <c r="V67" s="56" t="s">
        <v>814</v>
      </c>
      <c r="W67" s="57" t="s">
        <v>815</v>
      </c>
      <c r="X67" s="57" t="s">
        <v>816</v>
      </c>
      <c r="Y67" s="57" t="s">
        <v>817</v>
      </c>
      <c r="AF67" s="3" t="s">
        <v>818</v>
      </c>
      <c r="AG67" s="3" t="s">
        <v>819</v>
      </c>
      <c r="AH67" s="12">
        <v>409</v>
      </c>
      <c r="AI67" s="3" t="s">
        <v>804</v>
      </c>
      <c r="AW67" s="14"/>
      <c r="BB67" s="27"/>
      <c r="BE67" s="3" t="s">
        <v>818</v>
      </c>
      <c r="BF67" s="34" t="s">
        <v>820</v>
      </c>
      <c r="BG67" s="18"/>
      <c r="BH67" s="3" t="s">
        <v>505</v>
      </c>
    </row>
    <row r="68" spans="1:60">
      <c r="A68" s="1" t="s">
        <v>785</v>
      </c>
      <c r="B68" s="2" t="s">
        <v>55</v>
      </c>
      <c r="C68" s="2" t="s">
        <v>345</v>
      </c>
      <c r="D68" s="2">
        <v>714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t="s">
        <v>177</v>
      </c>
      <c r="V68" s="56" t="s">
        <v>821</v>
      </c>
      <c r="W68" s="57" t="s">
        <v>822</v>
      </c>
      <c r="X68" s="57" t="s">
        <v>823</v>
      </c>
      <c r="Y68" s="57" t="s">
        <v>824</v>
      </c>
      <c r="AF68" s="3" t="s">
        <v>825</v>
      </c>
      <c r="AG68" s="3" t="s">
        <v>826</v>
      </c>
      <c r="AH68" s="12">
        <v>411</v>
      </c>
      <c r="AI68" s="3" t="s">
        <v>804</v>
      </c>
      <c r="AW68" s="14"/>
      <c r="BB68" s="27"/>
      <c r="BE68" s="3" t="s">
        <v>825</v>
      </c>
      <c r="BF68" s="42" t="s">
        <v>827</v>
      </c>
      <c r="BG68" s="18">
        <v>458</v>
      </c>
      <c r="BH68" s="3" t="s">
        <v>818</v>
      </c>
    </row>
    <row r="69" spans="1:60">
      <c r="A69" s="1" t="s">
        <v>785</v>
      </c>
      <c r="B69" s="2" t="s">
        <v>55</v>
      </c>
      <c r="C69" s="2" t="s">
        <v>358</v>
      </c>
      <c r="D69" s="2">
        <v>715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t="s">
        <v>196</v>
      </c>
      <c r="V69" s="56" t="s">
        <v>828</v>
      </c>
      <c r="W69" s="57" t="s">
        <v>829</v>
      </c>
      <c r="X69" s="57" t="s">
        <v>830</v>
      </c>
      <c r="Y69" s="57" t="s">
        <v>831</v>
      </c>
      <c r="AA69" s="45"/>
      <c r="AB69" s="39"/>
      <c r="AF69" s="3" t="s">
        <v>832</v>
      </c>
      <c r="AG69" s="13" t="s">
        <v>833</v>
      </c>
      <c r="AH69" s="12"/>
      <c r="AI69" s="3" t="s">
        <v>63</v>
      </c>
      <c r="AW69" s="14"/>
      <c r="BB69" s="26"/>
      <c r="BE69" s="3" t="s">
        <v>832</v>
      </c>
      <c r="BF69" s="22" t="s">
        <v>834</v>
      </c>
      <c r="BG69" s="18">
        <v>460</v>
      </c>
      <c r="BH69" s="3" t="s">
        <v>818</v>
      </c>
    </row>
    <row r="70" spans="1:60">
      <c r="A70" s="1" t="s">
        <v>785</v>
      </c>
      <c r="B70" s="2" t="s">
        <v>55</v>
      </c>
      <c r="C70" s="2" t="s">
        <v>367</v>
      </c>
      <c r="D70" s="2">
        <v>716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t="s">
        <v>217</v>
      </c>
      <c r="V70" s="56" t="s">
        <v>835</v>
      </c>
      <c r="W70" s="57" t="s">
        <v>836</v>
      </c>
      <c r="X70" s="57" t="s">
        <v>837</v>
      </c>
      <c r="Y70" s="57" t="s">
        <v>838</v>
      </c>
      <c r="AA70" s="24"/>
      <c r="AB70" s="24"/>
      <c r="AF70" s="3" t="s">
        <v>839</v>
      </c>
      <c r="AG70" s="13" t="s">
        <v>840</v>
      </c>
      <c r="AH70" s="12"/>
      <c r="AI70" s="3" t="s">
        <v>841</v>
      </c>
      <c r="AW70" s="26"/>
      <c r="BB70" s="26"/>
      <c r="BE70" s="3" t="s">
        <v>839</v>
      </c>
      <c r="BF70" s="42" t="s">
        <v>842</v>
      </c>
      <c r="BG70" s="18">
        <v>465</v>
      </c>
      <c r="BH70" s="3" t="s">
        <v>818</v>
      </c>
    </row>
    <row r="71" spans="1:60">
      <c r="A71" s="1" t="s">
        <v>785</v>
      </c>
      <c r="B71" s="2" t="s">
        <v>55</v>
      </c>
      <c r="C71" s="2" t="s">
        <v>379</v>
      </c>
      <c r="D71" s="2">
        <v>717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t="s">
        <v>231</v>
      </c>
      <c r="V71" s="56" t="s">
        <v>843</v>
      </c>
      <c r="W71" s="57" t="s">
        <v>844</v>
      </c>
      <c r="X71" s="57" t="s">
        <v>845</v>
      </c>
      <c r="Y71" s="57" t="s">
        <v>846</v>
      </c>
      <c r="AA71" s="16"/>
      <c r="AB71" s="51"/>
      <c r="AF71" s="3" t="s">
        <v>847</v>
      </c>
      <c r="AG71" s="3" t="s">
        <v>848</v>
      </c>
      <c r="AH71" s="12">
        <v>417</v>
      </c>
      <c r="AI71" s="3" t="s">
        <v>847</v>
      </c>
      <c r="AW71" s="26"/>
      <c r="BB71" s="26"/>
      <c r="BE71" s="3" t="s">
        <v>847</v>
      </c>
      <c r="BF71" s="41" t="s">
        <v>849</v>
      </c>
      <c r="BG71" s="43">
        <v>1250</v>
      </c>
      <c r="BH71" s="3" t="s">
        <v>818</v>
      </c>
    </row>
    <row r="72" spans="1:60">
      <c r="A72" s="1" t="s">
        <v>785</v>
      </c>
      <c r="B72" s="2" t="s">
        <v>55</v>
      </c>
      <c r="C72" s="2" t="s">
        <v>389</v>
      </c>
      <c r="D72" s="2">
        <v>718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8"/>
      <c r="V72" s="18"/>
      <c r="W72" s="61"/>
      <c r="X72" s="61"/>
      <c r="Y72" s="60"/>
      <c r="AA72" s="15"/>
      <c r="AB72" s="15"/>
      <c r="AF72" s="3" t="s">
        <v>841</v>
      </c>
      <c r="AG72" s="3" t="s">
        <v>393</v>
      </c>
      <c r="AH72" s="12">
        <v>418</v>
      </c>
      <c r="AI72" s="3" t="s">
        <v>847</v>
      </c>
      <c r="AW72" s="26"/>
      <c r="BB72" s="26"/>
      <c r="BE72" s="3" t="s">
        <v>841</v>
      </c>
      <c r="BF72" s="33" t="s">
        <v>850</v>
      </c>
      <c r="BG72" s="18"/>
      <c r="BH72" s="3" t="s">
        <v>505</v>
      </c>
    </row>
    <row r="73" spans="1:60">
      <c r="A73" s="1" t="s">
        <v>785</v>
      </c>
      <c r="B73" s="2" t="s">
        <v>55</v>
      </c>
      <c r="C73" s="2" t="s">
        <v>395</v>
      </c>
      <c r="D73" s="2">
        <v>719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64" t="s">
        <v>851</v>
      </c>
      <c r="V73" s="65"/>
      <c r="W73" s="65"/>
      <c r="X73" s="65"/>
      <c r="Y73" s="59"/>
      <c r="AA73" s="11"/>
      <c r="AB73" s="11"/>
      <c r="AF73" s="3" t="s">
        <v>852</v>
      </c>
      <c r="AG73" s="3" t="s">
        <v>853</v>
      </c>
      <c r="AH73" s="12">
        <v>419</v>
      </c>
      <c r="AI73" s="3" t="s">
        <v>847</v>
      </c>
      <c r="BB73" s="26"/>
      <c r="BE73" s="3" t="s">
        <v>852</v>
      </c>
      <c r="BF73" s="50" t="s">
        <v>473</v>
      </c>
      <c r="BG73" s="18">
        <v>382</v>
      </c>
      <c r="BH73" s="3" t="s">
        <v>841</v>
      </c>
    </row>
    <row r="74" spans="1:60">
      <c r="A74" s="1" t="s">
        <v>785</v>
      </c>
      <c r="B74" s="2" t="s">
        <v>55</v>
      </c>
      <c r="C74" s="2" t="s">
        <v>402</v>
      </c>
      <c r="D74" s="2">
        <v>720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t="s">
        <v>51</v>
      </c>
      <c r="V74" t="s">
        <v>588</v>
      </c>
      <c r="W74" t="s">
        <v>854</v>
      </c>
      <c r="X74" t="s">
        <v>855</v>
      </c>
      <c r="Y74" s="3" t="s">
        <v>19</v>
      </c>
      <c r="AF74" s="3" t="s">
        <v>856</v>
      </c>
      <c r="AG74" s="3" t="s">
        <v>857</v>
      </c>
      <c r="AH74" s="12">
        <v>420</v>
      </c>
      <c r="AI74" s="3" t="s">
        <v>847</v>
      </c>
      <c r="BB74" s="26"/>
      <c r="BE74" s="3" t="s">
        <v>856</v>
      </c>
      <c r="BF74" s="23" t="s">
        <v>858</v>
      </c>
      <c r="BG74" s="18">
        <v>434</v>
      </c>
      <c r="BH74" s="3" t="s">
        <v>841</v>
      </c>
    </row>
    <row r="75" spans="1:60">
      <c r="A75" s="1" t="s">
        <v>785</v>
      </c>
      <c r="B75" s="2" t="s">
        <v>55</v>
      </c>
      <c r="C75" s="2" t="s">
        <v>409</v>
      </c>
      <c r="D75" s="2">
        <v>721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t="s">
        <v>62</v>
      </c>
      <c r="V75" s="57">
        <v>494</v>
      </c>
      <c r="W75" s="57">
        <v>495</v>
      </c>
      <c r="X75" s="57">
        <v>1793</v>
      </c>
      <c r="Y75" s="60"/>
      <c r="AF75" s="3" t="s">
        <v>859</v>
      </c>
      <c r="AG75" s="13" t="s">
        <v>548</v>
      </c>
      <c r="AH75" s="12"/>
      <c r="AI75" s="3" t="s">
        <v>839</v>
      </c>
      <c r="BE75" s="3" t="s">
        <v>859</v>
      </c>
      <c r="BF75" s="23" t="s">
        <v>860</v>
      </c>
      <c r="BG75" s="18">
        <v>426</v>
      </c>
      <c r="BH75" s="3" t="s">
        <v>841</v>
      </c>
    </row>
    <row r="76" spans="1:60">
      <c r="A76" s="1" t="s">
        <v>785</v>
      </c>
      <c r="B76" s="2" t="s">
        <v>55</v>
      </c>
      <c r="C76" s="2" t="s">
        <v>417</v>
      </c>
      <c r="D76" s="2">
        <v>722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t="s">
        <v>291</v>
      </c>
      <c r="V76" s="56" t="s">
        <v>861</v>
      </c>
      <c r="W76" s="57" t="s">
        <v>862</v>
      </c>
      <c r="X76" s="57" t="s">
        <v>863</v>
      </c>
      <c r="Y76" s="60"/>
      <c r="AF76" s="3" t="s">
        <v>864</v>
      </c>
      <c r="AG76" s="3" t="s">
        <v>865</v>
      </c>
      <c r="AH76" s="12">
        <v>412</v>
      </c>
      <c r="AI76" s="3" t="s">
        <v>864</v>
      </c>
      <c r="BE76" s="3" t="s">
        <v>864</v>
      </c>
      <c r="BF76" s="33" t="s">
        <v>866</v>
      </c>
      <c r="BG76" s="18"/>
      <c r="BH76" s="3" t="s">
        <v>505</v>
      </c>
    </row>
    <row r="77" spans="1:60">
      <c r="A77" s="1" t="s">
        <v>785</v>
      </c>
      <c r="B77" s="2" t="s">
        <v>55</v>
      </c>
      <c r="C77" s="2" t="s">
        <v>431</v>
      </c>
      <c r="D77" s="2">
        <v>723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t="s">
        <v>89</v>
      </c>
      <c r="V77" s="56" t="s">
        <v>867</v>
      </c>
      <c r="W77" s="57" t="s">
        <v>868</v>
      </c>
      <c r="X77" s="57" t="s">
        <v>869</v>
      </c>
      <c r="Y77" s="60"/>
      <c r="AF77" s="3" t="s">
        <v>870</v>
      </c>
      <c r="AG77" s="3" t="s">
        <v>871</v>
      </c>
      <c r="AH77" s="12">
        <v>413</v>
      </c>
      <c r="AI77" s="3" t="s">
        <v>864</v>
      </c>
      <c r="BE77" s="3" t="s">
        <v>870</v>
      </c>
      <c r="BF77" s="19" t="s">
        <v>872</v>
      </c>
      <c r="BG77" s="18">
        <v>512</v>
      </c>
      <c r="BH77" s="3" t="s">
        <v>864</v>
      </c>
    </row>
    <row r="78" spans="1:60">
      <c r="A78" s="1" t="s">
        <v>785</v>
      </c>
      <c r="B78" s="2" t="s">
        <v>55</v>
      </c>
      <c r="C78" s="2" t="s">
        <v>442</v>
      </c>
      <c r="D78" s="2">
        <v>724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t="s">
        <v>104</v>
      </c>
      <c r="V78" s="56" t="s">
        <v>873</v>
      </c>
      <c r="W78" s="57" t="s">
        <v>874</v>
      </c>
      <c r="X78" s="57" t="s">
        <v>875</v>
      </c>
      <c r="Y78" s="60"/>
      <c r="AF78" s="3" t="s">
        <v>876</v>
      </c>
      <c r="AG78" s="3" t="s">
        <v>877</v>
      </c>
      <c r="AH78" s="12">
        <v>414</v>
      </c>
      <c r="AI78" s="3" t="s">
        <v>864</v>
      </c>
      <c r="BE78" s="3" t="s">
        <v>876</v>
      </c>
      <c r="BF78" s="19" t="s">
        <v>878</v>
      </c>
      <c r="BG78" s="18">
        <v>548</v>
      </c>
      <c r="BH78" s="3" t="s">
        <v>864</v>
      </c>
    </row>
    <row r="79" spans="1:60">
      <c r="A79" s="1" t="s">
        <v>785</v>
      </c>
      <c r="B79" s="2" t="s">
        <v>55</v>
      </c>
      <c r="C79" s="2" t="s">
        <v>455</v>
      </c>
      <c r="D79" s="2">
        <v>725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t="s">
        <v>122</v>
      </c>
      <c r="V79" s="56" t="s">
        <v>879</v>
      </c>
      <c r="W79" s="57" t="s">
        <v>880</v>
      </c>
      <c r="X79" s="57" t="s">
        <v>881</v>
      </c>
      <c r="Y79" s="60"/>
      <c r="AF79" s="3" t="s">
        <v>882</v>
      </c>
      <c r="AG79" s="3" t="s">
        <v>883</v>
      </c>
      <c r="AH79" s="12">
        <v>415</v>
      </c>
      <c r="AI79" s="3" t="s">
        <v>864</v>
      </c>
      <c r="BE79" s="3" t="s">
        <v>882</v>
      </c>
      <c r="BF79" s="29" t="s">
        <v>884</v>
      </c>
      <c r="BG79" s="18"/>
    </row>
    <row r="80" spans="1:60">
      <c r="A80" s="1" t="s">
        <v>785</v>
      </c>
      <c r="B80" s="2" t="s">
        <v>55</v>
      </c>
      <c r="C80" s="2" t="s">
        <v>470</v>
      </c>
      <c r="D80" s="2">
        <v>726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t="s">
        <v>139</v>
      </c>
      <c r="V80" s="56" t="s">
        <v>885</v>
      </c>
      <c r="W80" s="57" t="s">
        <v>886</v>
      </c>
      <c r="X80" s="57" t="s">
        <v>887</v>
      </c>
      <c r="Y80" s="60"/>
      <c r="AF80" s="3" t="s">
        <v>888</v>
      </c>
      <c r="AG80" s="3" t="s">
        <v>889</v>
      </c>
      <c r="AH80" s="12">
        <v>416</v>
      </c>
      <c r="AI80" s="3" t="s">
        <v>864</v>
      </c>
      <c r="BE80" s="3" t="s">
        <v>888</v>
      </c>
      <c r="BF80" s="29" t="s">
        <v>890</v>
      </c>
      <c r="BG80" s="18"/>
      <c r="BH80" s="3" t="s">
        <v>882</v>
      </c>
    </row>
    <row r="81" spans="1:60">
      <c r="A81" s="1" t="s">
        <v>785</v>
      </c>
      <c r="B81" s="2" t="s">
        <v>55</v>
      </c>
      <c r="C81" s="2" t="s">
        <v>481</v>
      </c>
      <c r="D81" s="2">
        <v>727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t="s">
        <v>161</v>
      </c>
      <c r="V81" s="56" t="s">
        <v>891</v>
      </c>
      <c r="W81" s="57" t="s">
        <v>892</v>
      </c>
      <c r="X81" s="57" t="s">
        <v>893</v>
      </c>
      <c r="Y81" s="60"/>
      <c r="AF81" s="3" t="s">
        <v>894</v>
      </c>
      <c r="AG81" s="13" t="s">
        <v>895</v>
      </c>
      <c r="AH81" s="12"/>
      <c r="AI81" s="3" t="s">
        <v>839</v>
      </c>
      <c r="BE81" s="3" t="s">
        <v>894</v>
      </c>
      <c r="BF81" s="19" t="s">
        <v>896</v>
      </c>
      <c r="BG81" s="18">
        <v>566</v>
      </c>
      <c r="BH81" s="3" t="s">
        <v>888</v>
      </c>
    </row>
    <row r="82" spans="1:60">
      <c r="A82" s="1" t="s">
        <v>897</v>
      </c>
      <c r="B82" s="2" t="s">
        <v>52</v>
      </c>
      <c r="C82" s="2" t="s">
        <v>83</v>
      </c>
      <c r="D82" s="2">
        <v>728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t="s">
        <v>177</v>
      </c>
      <c r="V82" s="56" t="s">
        <v>898</v>
      </c>
      <c r="W82" s="57" t="s">
        <v>899</v>
      </c>
      <c r="X82" s="57" t="s">
        <v>900</v>
      </c>
      <c r="Y82" s="60"/>
      <c r="AF82" s="3" t="s">
        <v>901</v>
      </c>
      <c r="AG82" s="3" t="s">
        <v>556</v>
      </c>
      <c r="AH82" s="12">
        <v>421</v>
      </c>
      <c r="AI82" s="3" t="s">
        <v>894</v>
      </c>
      <c r="BE82" s="3" t="s">
        <v>901</v>
      </c>
      <c r="BF82" s="19" t="s">
        <v>902</v>
      </c>
      <c r="BG82" s="18">
        <v>588</v>
      </c>
      <c r="BH82" s="3" t="s">
        <v>888</v>
      </c>
    </row>
    <row r="83" spans="1:60">
      <c r="A83" s="1" t="s">
        <v>897</v>
      </c>
      <c r="B83" s="2" t="s">
        <v>52</v>
      </c>
      <c r="C83" s="2" t="s">
        <v>97</v>
      </c>
      <c r="D83" s="2">
        <v>729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t="s">
        <v>196</v>
      </c>
      <c r="V83" s="56" t="s">
        <v>903</v>
      </c>
      <c r="W83" s="57" t="s">
        <v>904</v>
      </c>
      <c r="X83" s="57" t="s">
        <v>905</v>
      </c>
      <c r="Y83" s="60"/>
      <c r="AF83" s="3" t="s">
        <v>906</v>
      </c>
      <c r="AG83" s="3" t="s">
        <v>557</v>
      </c>
      <c r="AH83" s="12">
        <v>422</v>
      </c>
      <c r="AI83" s="3" t="s">
        <v>894</v>
      </c>
      <c r="BE83" s="3" t="s">
        <v>906</v>
      </c>
      <c r="BF83" s="19" t="s">
        <v>907</v>
      </c>
      <c r="BG83" s="18">
        <v>530</v>
      </c>
      <c r="BH83" s="3" t="s">
        <v>888</v>
      </c>
    </row>
    <row r="84" spans="1:60">
      <c r="A84" s="1" t="s">
        <v>897</v>
      </c>
      <c r="B84" s="2" t="s">
        <v>52</v>
      </c>
      <c r="C84" s="2" t="s">
        <v>112</v>
      </c>
      <c r="D84" s="2">
        <v>730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t="s">
        <v>217</v>
      </c>
      <c r="V84" s="56" t="s">
        <v>908</v>
      </c>
      <c r="W84" s="57" t="s">
        <v>909</v>
      </c>
      <c r="X84" s="57" t="s">
        <v>910</v>
      </c>
      <c r="Y84" s="60"/>
      <c r="AF84" s="3" t="s">
        <v>911</v>
      </c>
      <c r="AG84" s="3" t="s">
        <v>558</v>
      </c>
      <c r="AH84" s="12">
        <v>423</v>
      </c>
      <c r="AI84" s="3" t="s">
        <v>894</v>
      </c>
      <c r="BE84" s="3" t="s">
        <v>911</v>
      </c>
      <c r="BF84" s="35" t="s">
        <v>912</v>
      </c>
      <c r="BG84" s="18"/>
      <c r="BH84" s="3" t="s">
        <v>882</v>
      </c>
    </row>
    <row r="85" spans="1:60">
      <c r="A85" s="1" t="s">
        <v>897</v>
      </c>
      <c r="B85" s="2" t="s">
        <v>52</v>
      </c>
      <c r="C85" s="2" t="s">
        <v>130</v>
      </c>
      <c r="D85" s="2">
        <v>731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t="s">
        <v>231</v>
      </c>
      <c r="V85" s="56" t="s">
        <v>913</v>
      </c>
      <c r="W85" s="57" t="s">
        <v>914</v>
      </c>
      <c r="X85" s="57" t="s">
        <v>915</v>
      </c>
      <c r="Y85" s="60"/>
      <c r="AA85" s="45"/>
      <c r="AB85" s="39"/>
      <c r="AF85" s="3" t="s">
        <v>916</v>
      </c>
      <c r="AG85" s="3" t="s">
        <v>559</v>
      </c>
      <c r="AH85" s="12">
        <v>1663</v>
      </c>
      <c r="AI85" s="3" t="s">
        <v>894</v>
      </c>
      <c r="BE85" s="3" t="s">
        <v>916</v>
      </c>
      <c r="BF85" s="19" t="s">
        <v>917</v>
      </c>
      <c r="BG85" s="18">
        <v>541</v>
      </c>
      <c r="BH85" s="3" t="s">
        <v>911</v>
      </c>
    </row>
    <row r="86" spans="1:60">
      <c r="A86" s="1" t="s">
        <v>897</v>
      </c>
      <c r="B86" s="2" t="s">
        <v>52</v>
      </c>
      <c r="C86" s="2" t="s">
        <v>147</v>
      </c>
      <c r="D86" s="2">
        <v>732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18"/>
      <c r="V86" s="18"/>
      <c r="W86" s="18"/>
      <c r="X86" s="18"/>
      <c r="AA86" s="24"/>
      <c r="AB86" s="24"/>
      <c r="AF86" s="3" t="s">
        <v>918</v>
      </c>
      <c r="AG86" s="13" t="s">
        <v>579</v>
      </c>
      <c r="AH86" s="12"/>
      <c r="AI86" s="3" t="s">
        <v>839</v>
      </c>
      <c r="BE86" s="3" t="s">
        <v>918</v>
      </c>
      <c r="BF86" s="19" t="s">
        <v>919</v>
      </c>
      <c r="BG86" s="18">
        <v>525</v>
      </c>
      <c r="BH86" s="3" t="s">
        <v>911</v>
      </c>
    </row>
    <row r="87" spans="1:60">
      <c r="A87" s="1" t="s">
        <v>897</v>
      </c>
      <c r="B87" s="2" t="s">
        <v>52</v>
      </c>
      <c r="C87" s="2" t="s">
        <v>169</v>
      </c>
      <c r="D87" s="2">
        <v>733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64" t="s">
        <v>920</v>
      </c>
      <c r="V87" s="68"/>
      <c r="W87" s="68"/>
      <c r="X87" s="62"/>
      <c r="Y87" s="62"/>
      <c r="AA87" s="16"/>
      <c r="AB87" s="16"/>
      <c r="AF87" s="3" t="s">
        <v>921</v>
      </c>
      <c r="AG87" s="3" t="s">
        <v>922</v>
      </c>
      <c r="AH87" s="12">
        <v>424</v>
      </c>
      <c r="AI87" s="3" t="s">
        <v>918</v>
      </c>
      <c r="BE87" s="3" t="s">
        <v>921</v>
      </c>
      <c r="BF87" s="22" t="s">
        <v>923</v>
      </c>
      <c r="BG87" s="18">
        <v>563</v>
      </c>
      <c r="BH87" s="3" t="s">
        <v>911</v>
      </c>
    </row>
    <row r="88" spans="1:60">
      <c r="A88" s="1" t="s">
        <v>897</v>
      </c>
      <c r="B88" s="2" t="s">
        <v>52</v>
      </c>
      <c r="C88" s="2" t="s">
        <v>185</v>
      </c>
      <c r="D88" s="2">
        <v>734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t="s">
        <v>51</v>
      </c>
      <c r="V88" t="s">
        <v>924</v>
      </c>
      <c r="W88" t="s">
        <v>925</v>
      </c>
      <c r="AA88" s="16"/>
      <c r="AB88" s="16"/>
      <c r="AF88" s="3" t="s">
        <v>926</v>
      </c>
      <c r="AG88" s="3" t="s">
        <v>580</v>
      </c>
      <c r="AH88" s="12">
        <v>425</v>
      </c>
      <c r="AI88" s="3" t="s">
        <v>918</v>
      </c>
      <c r="BE88" s="3" t="s">
        <v>926</v>
      </c>
      <c r="BF88" s="19" t="s">
        <v>927</v>
      </c>
      <c r="BG88" s="18">
        <v>587</v>
      </c>
      <c r="BH88" s="3" t="s">
        <v>911</v>
      </c>
    </row>
    <row r="89" spans="1:60">
      <c r="A89" s="1" t="s">
        <v>897</v>
      </c>
      <c r="B89" s="2" t="s">
        <v>52</v>
      </c>
      <c r="C89" s="2" t="s">
        <v>204</v>
      </c>
      <c r="D89" s="2">
        <v>735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t="s">
        <v>62</v>
      </c>
      <c r="V89" s="57">
        <v>501</v>
      </c>
      <c r="W89" s="57">
        <v>502</v>
      </c>
      <c r="X89" s="60"/>
      <c r="Y89" s="60"/>
      <c r="AA89" s="17"/>
      <c r="AB89" s="17"/>
      <c r="AF89" s="3" t="s">
        <v>928</v>
      </c>
      <c r="AG89" s="3" t="s">
        <v>929</v>
      </c>
      <c r="AH89" s="12">
        <v>426</v>
      </c>
      <c r="AI89" s="3" t="s">
        <v>918</v>
      </c>
      <c r="BE89" s="3" t="s">
        <v>928</v>
      </c>
      <c r="BF89" s="35" t="s">
        <v>930</v>
      </c>
      <c r="BG89" s="18"/>
      <c r="BH89" s="3" t="s">
        <v>882</v>
      </c>
    </row>
    <row r="90" spans="1:60">
      <c r="A90" s="1" t="s">
        <v>897</v>
      </c>
      <c r="B90" s="2" t="s">
        <v>52</v>
      </c>
      <c r="C90" s="2" t="s">
        <v>225</v>
      </c>
      <c r="D90" s="2">
        <v>736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t="s">
        <v>291</v>
      </c>
      <c r="V90" s="56" t="s">
        <v>931</v>
      </c>
      <c r="W90" s="57" t="s">
        <v>932</v>
      </c>
      <c r="X90" s="60"/>
      <c r="Y90" s="60"/>
      <c r="AF90" s="3" t="s">
        <v>933</v>
      </c>
      <c r="AG90" s="3" t="s">
        <v>934</v>
      </c>
      <c r="AH90" s="12">
        <v>427</v>
      </c>
      <c r="AI90" s="3" t="s">
        <v>918</v>
      </c>
      <c r="BE90" s="3" t="s">
        <v>933</v>
      </c>
      <c r="BF90" s="19" t="s">
        <v>935</v>
      </c>
      <c r="BG90" s="18">
        <v>538</v>
      </c>
      <c r="BH90" s="3" t="s">
        <v>928</v>
      </c>
    </row>
    <row r="91" spans="1:60">
      <c r="A91" s="1" t="s">
        <v>897</v>
      </c>
      <c r="B91" s="2" t="s">
        <v>52</v>
      </c>
      <c r="C91" s="2" t="s">
        <v>239</v>
      </c>
      <c r="D91" s="2">
        <v>737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t="s">
        <v>89</v>
      </c>
      <c r="V91" s="56" t="s">
        <v>936</v>
      </c>
      <c r="W91" s="57" t="s">
        <v>937</v>
      </c>
      <c r="X91" s="60"/>
      <c r="Y91" s="60"/>
      <c r="AF91" s="3" t="s">
        <v>938</v>
      </c>
      <c r="AG91" s="13" t="s">
        <v>586</v>
      </c>
      <c r="AH91" s="12"/>
      <c r="AI91" s="3" t="s">
        <v>63</v>
      </c>
      <c r="BE91" s="3" t="s">
        <v>938</v>
      </c>
      <c r="BF91" s="19" t="s">
        <v>927</v>
      </c>
      <c r="BG91" s="18">
        <v>587</v>
      </c>
      <c r="BH91" s="3" t="s">
        <v>928</v>
      </c>
    </row>
    <row r="92" spans="1:60">
      <c r="A92" s="52" t="s">
        <v>939</v>
      </c>
      <c r="B92" s="53" t="s">
        <v>52</v>
      </c>
      <c r="C92" s="53" t="s">
        <v>666</v>
      </c>
      <c r="D92" s="53">
        <v>3498</v>
      </c>
      <c r="E92" s="53" t="s">
        <v>769</v>
      </c>
      <c r="F92" s="53">
        <v>3499</v>
      </c>
      <c r="G92" s="53" t="s">
        <v>771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2"/>
      <c r="U92" t="s">
        <v>104</v>
      </c>
      <c r="V92" s="56" t="s">
        <v>940</v>
      </c>
      <c r="W92" s="57" t="s">
        <v>941</v>
      </c>
      <c r="X92" s="60"/>
      <c r="Y92" s="60"/>
      <c r="AF92" s="3" t="s">
        <v>942</v>
      </c>
      <c r="AG92" s="13" t="s">
        <v>587</v>
      </c>
      <c r="AH92" s="12"/>
      <c r="AI92" s="3" t="s">
        <v>938</v>
      </c>
      <c r="BE92" s="3" t="s">
        <v>942</v>
      </c>
      <c r="BF92" s="19" t="s">
        <v>943</v>
      </c>
      <c r="BG92" s="18">
        <v>615</v>
      </c>
      <c r="BH92" s="3" t="s">
        <v>928</v>
      </c>
    </row>
    <row r="93" spans="1:60">
      <c r="A93" s="52" t="s">
        <v>939</v>
      </c>
      <c r="B93" s="53" t="s">
        <v>944</v>
      </c>
      <c r="C93" s="53" t="s">
        <v>382</v>
      </c>
      <c r="D93" s="53">
        <v>3497</v>
      </c>
      <c r="E93" s="53" t="s">
        <v>945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t="s">
        <v>122</v>
      </c>
      <c r="V93" s="56" t="s">
        <v>946</v>
      </c>
      <c r="W93" s="57" t="s">
        <v>947</v>
      </c>
      <c r="X93" s="60"/>
      <c r="Y93" s="60"/>
      <c r="AF93" s="3" t="s">
        <v>948</v>
      </c>
      <c r="AG93" s="3" t="s">
        <v>949</v>
      </c>
      <c r="AH93" s="12">
        <v>428</v>
      </c>
      <c r="AI93" s="3" t="s">
        <v>942</v>
      </c>
      <c r="BE93" s="3" t="s">
        <v>948</v>
      </c>
      <c r="BF93" s="19" t="s">
        <v>950</v>
      </c>
      <c r="BG93" s="18">
        <v>549</v>
      </c>
      <c r="BH93" s="3" t="s">
        <v>928</v>
      </c>
    </row>
    <row r="94" spans="1:60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18"/>
      <c r="U94" t="s">
        <v>139</v>
      </c>
      <c r="V94" s="56" t="s">
        <v>951</v>
      </c>
      <c r="W94" s="57" t="s">
        <v>952</v>
      </c>
      <c r="X94" s="60"/>
      <c r="Y94" s="60"/>
      <c r="AF94" s="3" t="s">
        <v>953</v>
      </c>
      <c r="AG94" s="3" t="s">
        <v>954</v>
      </c>
      <c r="AH94" s="12">
        <v>429</v>
      </c>
      <c r="AI94" s="3" t="s">
        <v>942</v>
      </c>
      <c r="BE94" s="3" t="s">
        <v>953</v>
      </c>
      <c r="BF94" s="19" t="s">
        <v>955</v>
      </c>
      <c r="BG94" s="18">
        <v>561</v>
      </c>
      <c r="BH94" s="3" t="s">
        <v>928</v>
      </c>
    </row>
    <row r="95" spans="1:60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8"/>
      <c r="U95" t="s">
        <v>161</v>
      </c>
      <c r="V95" s="56" t="s">
        <v>956</v>
      </c>
      <c r="W95" s="57" t="s">
        <v>957</v>
      </c>
      <c r="X95" s="60"/>
      <c r="Y95" s="60"/>
      <c r="AF95" s="3" t="s">
        <v>958</v>
      </c>
      <c r="AG95" s="3" t="s">
        <v>959</v>
      </c>
      <c r="AH95" s="12">
        <v>430</v>
      </c>
      <c r="AI95" s="3" t="s">
        <v>942</v>
      </c>
      <c r="BE95" s="3" t="s">
        <v>958</v>
      </c>
      <c r="BF95" s="35" t="s">
        <v>960</v>
      </c>
      <c r="BG95" s="18"/>
      <c r="BH95" s="3" t="s">
        <v>882</v>
      </c>
    </row>
    <row r="96" spans="1:60">
      <c r="A96" s="10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8"/>
      <c r="U96" t="s">
        <v>177</v>
      </c>
      <c r="V96" s="56" t="s">
        <v>961</v>
      </c>
      <c r="W96" s="57" t="s">
        <v>962</v>
      </c>
      <c r="X96" s="60"/>
      <c r="Y96" s="60"/>
      <c r="AF96" s="3" t="s">
        <v>963</v>
      </c>
      <c r="AG96" s="3" t="s">
        <v>964</v>
      </c>
      <c r="AH96" s="12">
        <v>431</v>
      </c>
      <c r="AI96" s="3" t="s">
        <v>942</v>
      </c>
      <c r="BE96" s="3" t="s">
        <v>963</v>
      </c>
      <c r="BF96" s="22" t="s">
        <v>624</v>
      </c>
      <c r="BG96" s="18">
        <v>439</v>
      </c>
      <c r="BH96" s="3" t="s">
        <v>958</v>
      </c>
    </row>
    <row r="97" spans="1:60">
      <c r="A97" s="10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8"/>
      <c r="U97" t="s">
        <v>196</v>
      </c>
      <c r="V97" s="56" t="s">
        <v>965</v>
      </c>
      <c r="W97" s="57" t="s">
        <v>966</v>
      </c>
      <c r="X97" s="60"/>
      <c r="Y97" s="60"/>
      <c r="AF97" s="3" t="s">
        <v>967</v>
      </c>
      <c r="AG97" s="3" t="s">
        <v>968</v>
      </c>
      <c r="AH97" s="12">
        <v>433</v>
      </c>
      <c r="AI97" s="3" t="s">
        <v>942</v>
      </c>
      <c r="BE97" s="3" t="s">
        <v>967</v>
      </c>
      <c r="BF97" s="19" t="s">
        <v>969</v>
      </c>
      <c r="BG97" s="18">
        <v>548</v>
      </c>
      <c r="BH97" s="3" t="s">
        <v>958</v>
      </c>
    </row>
    <row r="98" spans="1:60">
      <c r="U98" t="s">
        <v>217</v>
      </c>
      <c r="V98" s="56" t="s">
        <v>970</v>
      </c>
      <c r="W98" s="57" t="s">
        <v>971</v>
      </c>
      <c r="X98" s="60"/>
      <c r="Y98" s="60"/>
      <c r="AF98" s="3" t="s">
        <v>972</v>
      </c>
      <c r="AG98" s="3" t="s">
        <v>973</v>
      </c>
      <c r="AH98" s="12">
        <v>434</v>
      </c>
      <c r="AI98" s="3" t="s">
        <v>942</v>
      </c>
      <c r="BE98" s="3" t="s">
        <v>972</v>
      </c>
      <c r="BF98" s="19" t="s">
        <v>974</v>
      </c>
      <c r="BG98" s="18">
        <v>557</v>
      </c>
      <c r="BH98" s="3" t="s">
        <v>958</v>
      </c>
    </row>
    <row r="99" spans="1:60">
      <c r="U99" t="s">
        <v>231</v>
      </c>
      <c r="V99" s="56" t="s">
        <v>975</v>
      </c>
      <c r="W99" s="57" t="s">
        <v>976</v>
      </c>
      <c r="X99" s="60"/>
      <c r="Y99" s="60"/>
      <c r="AF99" s="3" t="s">
        <v>977</v>
      </c>
      <c r="AG99" s="3" t="s">
        <v>978</v>
      </c>
      <c r="AH99" s="12">
        <v>435</v>
      </c>
      <c r="AI99" s="3" t="s">
        <v>942</v>
      </c>
      <c r="BE99" s="3" t="s">
        <v>977</v>
      </c>
      <c r="BF99" s="35" t="s">
        <v>979</v>
      </c>
      <c r="BG99" s="18"/>
      <c r="BH99" s="3" t="s">
        <v>882</v>
      </c>
    </row>
    <row r="100" spans="1:60">
      <c r="AF100" s="3" t="s">
        <v>980</v>
      </c>
      <c r="AG100" s="13" t="s">
        <v>981</v>
      </c>
      <c r="AH100" s="12"/>
      <c r="AI100" s="3" t="s">
        <v>938</v>
      </c>
      <c r="BE100" s="3" t="s">
        <v>980</v>
      </c>
      <c r="BF100" s="19" t="s">
        <v>982</v>
      </c>
      <c r="BG100" s="18">
        <v>506</v>
      </c>
      <c r="BH100" s="3" t="s">
        <v>977</v>
      </c>
    </row>
    <row r="101" spans="1:60">
      <c r="U101" s="64" t="s">
        <v>983</v>
      </c>
      <c r="V101" s="68"/>
      <c r="W101" s="68"/>
      <c r="X101" s="62"/>
      <c r="Y101" s="62"/>
      <c r="AF101" s="3" t="s">
        <v>984</v>
      </c>
      <c r="AG101" s="3" t="s">
        <v>985</v>
      </c>
      <c r="AH101" s="12">
        <v>436</v>
      </c>
      <c r="AI101" s="3" t="s">
        <v>980</v>
      </c>
      <c r="BE101" s="3" t="s">
        <v>984</v>
      </c>
      <c r="BF101" s="19" t="s">
        <v>969</v>
      </c>
      <c r="BG101" s="18">
        <v>548</v>
      </c>
      <c r="BH101" s="3" t="s">
        <v>977</v>
      </c>
    </row>
    <row r="102" spans="1:60">
      <c r="U102" t="s">
        <v>51</v>
      </c>
      <c r="V102" t="s">
        <v>986</v>
      </c>
      <c r="W102" t="s">
        <v>987</v>
      </c>
      <c r="X102" s="3" t="s">
        <v>988</v>
      </c>
      <c r="Y102" s="3" t="s">
        <v>19</v>
      </c>
      <c r="AF102" s="3" t="s">
        <v>989</v>
      </c>
      <c r="AG102" s="3" t="s">
        <v>990</v>
      </c>
      <c r="AH102" s="12">
        <v>437</v>
      </c>
      <c r="AI102" s="3" t="s">
        <v>980</v>
      </c>
      <c r="BE102" s="3" t="s">
        <v>989</v>
      </c>
      <c r="BF102" s="35" t="s">
        <v>991</v>
      </c>
      <c r="BG102" s="18"/>
      <c r="BH102" s="3" t="s">
        <v>882</v>
      </c>
    </row>
    <row r="103" spans="1:60">
      <c r="U103" t="s">
        <v>62</v>
      </c>
      <c r="V103" s="57">
        <v>591</v>
      </c>
      <c r="W103" s="57">
        <v>592</v>
      </c>
      <c r="X103" s="60"/>
      <c r="Y103" s="60"/>
      <c r="AF103" s="3" t="s">
        <v>992</v>
      </c>
      <c r="AG103" s="3" t="s">
        <v>993</v>
      </c>
      <c r="AH103" s="12">
        <v>438</v>
      </c>
      <c r="AI103" s="3" t="s">
        <v>980</v>
      </c>
      <c r="BE103" s="3" t="s">
        <v>992</v>
      </c>
      <c r="BF103" s="19" t="s">
        <v>994</v>
      </c>
      <c r="BG103" s="18">
        <v>547</v>
      </c>
      <c r="BH103" s="3" t="s">
        <v>989</v>
      </c>
    </row>
    <row r="104" spans="1:60">
      <c r="U104" t="s">
        <v>291</v>
      </c>
      <c r="V104" s="56" t="s">
        <v>995</v>
      </c>
      <c r="W104" s="57" t="s">
        <v>996</v>
      </c>
      <c r="X104" s="60"/>
      <c r="Y104" s="60"/>
      <c r="AF104" s="3" t="s">
        <v>997</v>
      </c>
      <c r="AG104" s="13" t="s">
        <v>623</v>
      </c>
      <c r="AH104" s="12"/>
      <c r="AI104" s="3" t="s">
        <v>938</v>
      </c>
      <c r="BE104" s="3" t="s">
        <v>997</v>
      </c>
      <c r="BF104" s="35" t="s">
        <v>998</v>
      </c>
      <c r="BG104" s="18"/>
      <c r="BH104" s="3" t="s">
        <v>882</v>
      </c>
    </row>
    <row r="105" spans="1:60">
      <c r="U105" t="s">
        <v>89</v>
      </c>
      <c r="V105" s="56" t="s">
        <v>999</v>
      </c>
      <c r="W105" s="57" t="s">
        <v>1000</v>
      </c>
      <c r="X105" s="60"/>
      <c r="Y105" s="60"/>
      <c r="AF105" s="3" t="s">
        <v>1001</v>
      </c>
      <c r="AG105" s="3" t="s">
        <v>624</v>
      </c>
      <c r="AH105" s="12">
        <v>439</v>
      </c>
      <c r="AI105" s="3" t="s">
        <v>997</v>
      </c>
      <c r="BE105" s="3" t="s">
        <v>1001</v>
      </c>
      <c r="BF105" s="19" t="s">
        <v>1002</v>
      </c>
      <c r="BG105" s="18">
        <v>512</v>
      </c>
      <c r="BH105" s="3" t="s">
        <v>997</v>
      </c>
    </row>
    <row r="106" spans="1:60">
      <c r="U106" t="s">
        <v>104</v>
      </c>
      <c r="V106" s="56" t="s">
        <v>1003</v>
      </c>
      <c r="W106" s="57" t="s">
        <v>1004</v>
      </c>
      <c r="X106" s="60"/>
      <c r="Y106" s="60"/>
      <c r="AF106" s="3" t="s">
        <v>1005</v>
      </c>
      <c r="AG106" s="3" t="s">
        <v>1006</v>
      </c>
      <c r="AH106" s="12">
        <v>440</v>
      </c>
      <c r="AI106" s="3" t="s">
        <v>997</v>
      </c>
      <c r="BE106" s="3" t="s">
        <v>1005</v>
      </c>
      <c r="BF106" s="19" t="s">
        <v>1007</v>
      </c>
      <c r="BG106" s="18">
        <v>550</v>
      </c>
      <c r="BH106" s="3" t="s">
        <v>997</v>
      </c>
    </row>
    <row r="107" spans="1:60">
      <c r="U107" t="s">
        <v>122</v>
      </c>
      <c r="V107" s="56" t="s">
        <v>1008</v>
      </c>
      <c r="W107" s="57" t="s">
        <v>1009</v>
      </c>
      <c r="X107" s="60"/>
      <c r="Y107" s="60"/>
      <c r="AF107" s="3" t="s">
        <v>1010</v>
      </c>
      <c r="AG107" s="3" t="s">
        <v>1011</v>
      </c>
      <c r="AH107" s="12">
        <v>441</v>
      </c>
      <c r="AI107" s="3" t="s">
        <v>997</v>
      </c>
      <c r="BE107" s="3" t="s">
        <v>1010</v>
      </c>
      <c r="BF107" s="35" t="s">
        <v>1012</v>
      </c>
      <c r="BG107" s="18"/>
      <c r="BH107" s="3" t="s">
        <v>882</v>
      </c>
    </row>
    <row r="108" spans="1:60">
      <c r="U108" t="s">
        <v>139</v>
      </c>
      <c r="V108" s="56" t="s">
        <v>1013</v>
      </c>
      <c r="W108" s="57" t="s">
        <v>1014</v>
      </c>
      <c r="X108" s="60"/>
      <c r="Y108" s="60"/>
      <c r="AA108" s="45"/>
      <c r="AB108" s="39"/>
      <c r="AF108" s="3" t="s">
        <v>1015</v>
      </c>
      <c r="AG108" s="3" t="s">
        <v>1016</v>
      </c>
      <c r="AH108" s="12">
        <v>442</v>
      </c>
      <c r="AI108" s="3" t="s">
        <v>997</v>
      </c>
      <c r="BE108" s="3" t="s">
        <v>1015</v>
      </c>
      <c r="BF108" s="19" t="s">
        <v>1017</v>
      </c>
      <c r="BG108" s="18">
        <v>513</v>
      </c>
      <c r="BH108" s="3" t="s">
        <v>1010</v>
      </c>
    </row>
    <row r="109" spans="1:60">
      <c r="U109" t="s">
        <v>161</v>
      </c>
      <c r="V109" s="56" t="s">
        <v>1018</v>
      </c>
      <c r="W109" s="57" t="s">
        <v>1019</v>
      </c>
      <c r="X109" s="60"/>
      <c r="Y109" s="60"/>
      <c r="AA109" s="24"/>
      <c r="AB109" s="24"/>
      <c r="AF109" s="3" t="s">
        <v>1020</v>
      </c>
      <c r="AG109" s="3" t="s">
        <v>1021</v>
      </c>
      <c r="AH109" s="12">
        <v>443</v>
      </c>
      <c r="AI109" s="3" t="s">
        <v>997</v>
      </c>
      <c r="BE109" s="3" t="s">
        <v>1020</v>
      </c>
      <c r="BF109" s="23" t="s">
        <v>1022</v>
      </c>
      <c r="BG109" s="18">
        <v>501</v>
      </c>
      <c r="BH109" s="3" t="s">
        <v>1010</v>
      </c>
    </row>
    <row r="110" spans="1:60">
      <c r="U110" t="s">
        <v>177</v>
      </c>
      <c r="V110" s="56" t="s">
        <v>1023</v>
      </c>
      <c r="W110" s="57" t="s">
        <v>1024</v>
      </c>
      <c r="X110" s="60"/>
      <c r="Y110" s="60"/>
      <c r="AB110" s="16"/>
      <c r="AF110" s="3" t="s">
        <v>1025</v>
      </c>
      <c r="AG110" s="3" t="s">
        <v>640</v>
      </c>
      <c r="AH110" s="12">
        <v>618</v>
      </c>
      <c r="AI110" s="3" t="s">
        <v>997</v>
      </c>
      <c r="BE110" s="3" t="s">
        <v>1025</v>
      </c>
      <c r="BF110" s="23" t="s">
        <v>1026</v>
      </c>
      <c r="BG110" s="18">
        <v>514</v>
      </c>
      <c r="BH110" s="3" t="s">
        <v>1010</v>
      </c>
    </row>
    <row r="111" spans="1:60">
      <c r="U111" t="s">
        <v>196</v>
      </c>
      <c r="V111" s="56" t="s">
        <v>1027</v>
      </c>
      <c r="W111" s="57" t="s">
        <v>1028</v>
      </c>
      <c r="X111" s="60"/>
      <c r="Y111" s="60"/>
      <c r="AA111" s="11"/>
      <c r="AB111" s="11"/>
      <c r="AF111" s="3" t="s">
        <v>1029</v>
      </c>
      <c r="AG111" s="3" t="s">
        <v>1030</v>
      </c>
      <c r="AH111" s="12">
        <v>619</v>
      </c>
      <c r="AI111" s="3" t="s">
        <v>997</v>
      </c>
      <c r="BE111" s="3" t="s">
        <v>1029</v>
      </c>
      <c r="BF111" s="23" t="s">
        <v>1031</v>
      </c>
      <c r="BG111" s="18">
        <v>524</v>
      </c>
      <c r="BH111" s="3" t="s">
        <v>1010</v>
      </c>
    </row>
    <row r="112" spans="1:60">
      <c r="U112" t="s">
        <v>217</v>
      </c>
      <c r="V112" s="56" t="s">
        <v>1032</v>
      </c>
      <c r="W112" s="57" t="s">
        <v>1033</v>
      </c>
      <c r="X112" s="60"/>
      <c r="Y112" s="60"/>
      <c r="AA112" s="17"/>
      <c r="AB112" s="17"/>
      <c r="AF112" s="3" t="s">
        <v>1034</v>
      </c>
      <c r="AG112" s="3" t="s">
        <v>1035</v>
      </c>
      <c r="AH112" s="12">
        <v>1659</v>
      </c>
      <c r="AI112" s="3" t="s">
        <v>997</v>
      </c>
      <c r="BE112" s="3" t="s">
        <v>1034</v>
      </c>
      <c r="BF112" s="23" t="s">
        <v>1036</v>
      </c>
      <c r="BG112" s="18">
        <v>525</v>
      </c>
      <c r="BH112" s="3" t="s">
        <v>1010</v>
      </c>
    </row>
    <row r="113" spans="21:60">
      <c r="U113" t="s">
        <v>231</v>
      </c>
      <c r="V113" s="56" t="s">
        <v>1037</v>
      </c>
      <c r="W113" s="57" t="s">
        <v>1038</v>
      </c>
      <c r="X113" s="60"/>
      <c r="Y113" s="60"/>
      <c r="AF113" s="3" t="s">
        <v>1039</v>
      </c>
      <c r="AG113" s="3" t="s">
        <v>1040</v>
      </c>
      <c r="AH113" s="12">
        <v>1660</v>
      </c>
      <c r="AI113" s="3" t="s">
        <v>997</v>
      </c>
      <c r="BE113" s="3" t="s">
        <v>1039</v>
      </c>
      <c r="BF113" s="23" t="s">
        <v>1041</v>
      </c>
      <c r="BG113" s="36">
        <v>527</v>
      </c>
      <c r="BH113" s="3" t="s">
        <v>1010</v>
      </c>
    </row>
    <row r="114" spans="21:60">
      <c r="AF114" s="3" t="s">
        <v>1042</v>
      </c>
      <c r="AG114" s="13" t="s">
        <v>1043</v>
      </c>
      <c r="AH114" s="12"/>
      <c r="AI114" s="3" t="s">
        <v>938</v>
      </c>
      <c r="BE114" s="3" t="s">
        <v>1042</v>
      </c>
      <c r="BF114" s="23" t="s">
        <v>251</v>
      </c>
      <c r="BG114" s="36">
        <v>522</v>
      </c>
      <c r="BH114" s="3" t="s">
        <v>1010</v>
      </c>
    </row>
    <row r="115" spans="21:60">
      <c r="U115" s="64" t="s">
        <v>1044</v>
      </c>
      <c r="V115" s="68"/>
      <c r="W115" s="68"/>
      <c r="X115" s="62"/>
      <c r="Y115" s="62"/>
      <c r="AA115" s="63"/>
      <c r="AF115" s="3" t="s">
        <v>1045</v>
      </c>
      <c r="AG115" s="3" t="s">
        <v>1046</v>
      </c>
      <c r="AH115" s="12">
        <v>446</v>
      </c>
      <c r="AI115" s="3" t="s">
        <v>1042</v>
      </c>
      <c r="BE115" s="3" t="s">
        <v>1045</v>
      </c>
      <c r="BF115" s="23" t="s">
        <v>1047</v>
      </c>
      <c r="BG115" s="18">
        <v>530</v>
      </c>
      <c r="BH115" s="3" t="s">
        <v>1010</v>
      </c>
    </row>
    <row r="116" spans="21:60">
      <c r="U116" t="s">
        <v>51</v>
      </c>
      <c r="V116" t="s">
        <v>1048</v>
      </c>
      <c r="W116" t="s">
        <v>1049</v>
      </c>
      <c r="X116" s="3" t="s">
        <v>988</v>
      </c>
      <c r="Y116" s="3" t="s">
        <v>19</v>
      </c>
      <c r="AA116" s="24"/>
      <c r="AF116" s="3" t="s">
        <v>1050</v>
      </c>
      <c r="AG116" s="3" t="s">
        <v>391</v>
      </c>
      <c r="AH116" s="12">
        <v>448</v>
      </c>
      <c r="AI116" s="3" t="s">
        <v>1042</v>
      </c>
      <c r="BE116" s="3" t="s">
        <v>1050</v>
      </c>
      <c r="BF116" s="33" t="s">
        <v>1051</v>
      </c>
      <c r="BG116" s="18"/>
    </row>
    <row r="117" spans="21:60">
      <c r="U117" t="s">
        <v>62</v>
      </c>
      <c r="V117" s="57">
        <v>594</v>
      </c>
      <c r="W117" s="57">
        <v>1790</v>
      </c>
      <c r="X117" s="60"/>
      <c r="Y117" s="60"/>
      <c r="AA117" s="16"/>
      <c r="AF117" s="3" t="s">
        <v>1052</v>
      </c>
      <c r="AG117" s="3" t="s">
        <v>669</v>
      </c>
      <c r="AH117" s="12">
        <v>447</v>
      </c>
      <c r="AI117" s="3" t="s">
        <v>1042</v>
      </c>
      <c r="BE117" s="3" t="s">
        <v>1052</v>
      </c>
      <c r="BF117" s="19" t="s">
        <v>1053</v>
      </c>
      <c r="BG117" s="18">
        <v>602</v>
      </c>
      <c r="BH117" s="3" t="s">
        <v>1050</v>
      </c>
    </row>
    <row r="118" spans="21:60">
      <c r="U118" t="s">
        <v>291</v>
      </c>
      <c r="V118" s="56" t="s">
        <v>1054</v>
      </c>
      <c r="W118" s="57" t="s">
        <v>1055</v>
      </c>
      <c r="X118" s="60"/>
      <c r="Y118" s="60"/>
      <c r="AA118" s="11"/>
      <c r="AF118" s="3" t="s">
        <v>1056</v>
      </c>
      <c r="AG118" s="3" t="s">
        <v>1057</v>
      </c>
      <c r="AH118" s="12">
        <v>449</v>
      </c>
      <c r="AI118" s="3" t="s">
        <v>1042</v>
      </c>
      <c r="BE118" s="3" t="s">
        <v>1056</v>
      </c>
      <c r="BF118" s="22" t="s">
        <v>369</v>
      </c>
      <c r="BG118" s="18">
        <v>600</v>
      </c>
      <c r="BH118" s="3" t="s">
        <v>1050</v>
      </c>
    </row>
    <row r="119" spans="21:60">
      <c r="U119" t="s">
        <v>89</v>
      </c>
      <c r="V119" s="56" t="s">
        <v>1058</v>
      </c>
      <c r="W119" s="57" t="s">
        <v>1059</v>
      </c>
      <c r="X119" s="60"/>
      <c r="Y119" s="60"/>
      <c r="AF119" s="3" t="s">
        <v>1060</v>
      </c>
      <c r="AG119" s="3" t="s">
        <v>1061</v>
      </c>
      <c r="AH119" s="12">
        <v>450</v>
      </c>
      <c r="AI119" s="3" t="s">
        <v>1042</v>
      </c>
      <c r="BE119" s="3" t="s">
        <v>1060</v>
      </c>
      <c r="BF119" s="19" t="s">
        <v>101</v>
      </c>
      <c r="BG119" s="18">
        <v>504</v>
      </c>
      <c r="BH119" s="3" t="s">
        <v>1050</v>
      </c>
    </row>
    <row r="120" spans="21:60">
      <c r="U120" t="s">
        <v>104</v>
      </c>
      <c r="V120" s="56" t="s">
        <v>1062</v>
      </c>
      <c r="W120" s="57" t="s">
        <v>1063</v>
      </c>
      <c r="X120" s="60"/>
      <c r="Y120" s="60"/>
      <c r="AF120" s="3" t="s">
        <v>1064</v>
      </c>
      <c r="AG120" s="13" t="s">
        <v>1065</v>
      </c>
      <c r="AH120" s="12"/>
      <c r="AI120" s="3" t="s">
        <v>63</v>
      </c>
      <c r="BE120" s="3" t="s">
        <v>1064</v>
      </c>
      <c r="BF120" s="19" t="s">
        <v>982</v>
      </c>
      <c r="BG120" s="18">
        <v>506</v>
      </c>
      <c r="BH120" s="3" t="s">
        <v>1050</v>
      </c>
    </row>
    <row r="121" spans="21:60">
      <c r="U121" t="s">
        <v>122</v>
      </c>
      <c r="V121" s="56" t="s">
        <v>1066</v>
      </c>
      <c r="W121" s="57" t="s">
        <v>1067</v>
      </c>
      <c r="X121" s="60"/>
      <c r="Y121" s="60"/>
      <c r="AF121" s="3" t="s">
        <v>1068</v>
      </c>
      <c r="AG121" s="13" t="s">
        <v>684</v>
      </c>
      <c r="AH121" s="12"/>
      <c r="AI121" s="3" t="s">
        <v>1064</v>
      </c>
      <c r="BE121" s="3" t="s">
        <v>1068</v>
      </c>
      <c r="BF121" s="19" t="s">
        <v>1069</v>
      </c>
      <c r="BG121" s="18">
        <v>507</v>
      </c>
      <c r="BH121" s="3" t="s">
        <v>1050</v>
      </c>
    </row>
    <row r="122" spans="21:60">
      <c r="U122" t="s">
        <v>139</v>
      </c>
      <c r="V122" s="56" t="s">
        <v>1070</v>
      </c>
      <c r="W122" s="57" t="s">
        <v>1071</v>
      </c>
      <c r="X122" s="60"/>
      <c r="Y122" s="60"/>
      <c r="AF122" s="3" t="s">
        <v>1072</v>
      </c>
      <c r="AG122" s="13" t="s">
        <v>1073</v>
      </c>
      <c r="AH122" s="12"/>
      <c r="AI122" s="3" t="s">
        <v>1068</v>
      </c>
      <c r="BE122" s="3" t="s">
        <v>1072</v>
      </c>
      <c r="BF122" s="19" t="s">
        <v>116</v>
      </c>
      <c r="BG122" s="18">
        <v>508</v>
      </c>
      <c r="BH122" s="3" t="s">
        <v>1050</v>
      </c>
    </row>
    <row r="123" spans="21:60">
      <c r="U123" t="s">
        <v>161</v>
      </c>
      <c r="V123" s="56" t="s">
        <v>1074</v>
      </c>
      <c r="W123" s="57" t="s">
        <v>1075</v>
      </c>
      <c r="X123" s="60"/>
      <c r="Y123" s="60"/>
      <c r="AF123" s="3" t="s">
        <v>1076</v>
      </c>
      <c r="AG123" s="3" t="s">
        <v>1077</v>
      </c>
      <c r="AH123" s="12">
        <v>454</v>
      </c>
      <c r="AI123" s="3" t="s">
        <v>1072</v>
      </c>
      <c r="BE123" s="3" t="s">
        <v>1076</v>
      </c>
      <c r="BF123" s="19" t="s">
        <v>1078</v>
      </c>
      <c r="BG123" s="18">
        <v>509</v>
      </c>
      <c r="BH123" s="3" t="s">
        <v>1050</v>
      </c>
    </row>
    <row r="124" spans="21:60">
      <c r="U124" t="s">
        <v>177</v>
      </c>
      <c r="V124" s="56" t="s">
        <v>1079</v>
      </c>
      <c r="W124" s="57" t="s">
        <v>1080</v>
      </c>
      <c r="X124" s="60"/>
      <c r="Y124" s="60"/>
      <c r="AF124" s="3" t="s">
        <v>1081</v>
      </c>
      <c r="AG124" s="3" t="s">
        <v>1082</v>
      </c>
      <c r="AH124" s="12">
        <v>455</v>
      </c>
      <c r="AI124" s="3" t="s">
        <v>1072</v>
      </c>
      <c r="BE124" s="3" t="s">
        <v>1081</v>
      </c>
      <c r="BF124" s="19" t="s">
        <v>134</v>
      </c>
      <c r="BG124" s="18">
        <v>510</v>
      </c>
      <c r="BH124" s="3" t="s">
        <v>1050</v>
      </c>
    </row>
    <row r="125" spans="21:60">
      <c r="U125" t="s">
        <v>196</v>
      </c>
      <c r="V125" s="56" t="s">
        <v>1083</v>
      </c>
      <c r="W125" s="57" t="s">
        <v>1084</v>
      </c>
      <c r="X125" s="60"/>
      <c r="Y125" s="60"/>
      <c r="AF125" s="3" t="s">
        <v>1085</v>
      </c>
      <c r="AG125" s="3" t="s">
        <v>1086</v>
      </c>
      <c r="AH125" s="12">
        <v>456</v>
      </c>
      <c r="AI125" s="3" t="s">
        <v>1072</v>
      </c>
      <c r="BE125" s="3" t="s">
        <v>1085</v>
      </c>
      <c r="BF125" s="19" t="s">
        <v>1087</v>
      </c>
      <c r="BG125" s="18">
        <v>511</v>
      </c>
      <c r="BH125" s="3" t="s">
        <v>1050</v>
      </c>
    </row>
    <row r="126" spans="21:60">
      <c r="U126" t="s">
        <v>217</v>
      </c>
      <c r="V126" s="56" t="s">
        <v>1088</v>
      </c>
      <c r="W126" s="57" t="s">
        <v>1089</v>
      </c>
      <c r="X126" s="60"/>
      <c r="Y126" s="60"/>
      <c r="AF126" s="3" t="s">
        <v>1090</v>
      </c>
      <c r="AG126" s="3" t="s">
        <v>1091</v>
      </c>
      <c r="AH126" s="12">
        <v>457</v>
      </c>
      <c r="AI126" s="3" t="s">
        <v>1072</v>
      </c>
      <c r="BE126" s="3" t="s">
        <v>1090</v>
      </c>
      <c r="BF126" s="19" t="s">
        <v>1002</v>
      </c>
      <c r="BG126" s="18">
        <v>512</v>
      </c>
      <c r="BH126" s="3" t="s">
        <v>1050</v>
      </c>
    </row>
    <row r="127" spans="21:60">
      <c r="U127" t="s">
        <v>231</v>
      </c>
      <c r="V127" s="56" t="s">
        <v>1092</v>
      </c>
      <c r="W127" s="57" t="s">
        <v>1093</v>
      </c>
      <c r="X127" s="60"/>
      <c r="Y127" s="60"/>
      <c r="AF127" s="3" t="s">
        <v>1094</v>
      </c>
      <c r="AG127" s="13" t="s">
        <v>1095</v>
      </c>
      <c r="AH127" s="12"/>
      <c r="AI127" s="3" t="s">
        <v>1068</v>
      </c>
      <c r="BE127" s="3" t="s">
        <v>1094</v>
      </c>
      <c r="BF127" s="37" t="s">
        <v>1096</v>
      </c>
      <c r="BG127" s="18"/>
    </row>
    <row r="128" spans="21:60">
      <c r="AA128" s="45"/>
      <c r="AB128" s="39"/>
      <c r="AF128" s="3" t="s">
        <v>1097</v>
      </c>
      <c r="AG128" s="3" t="s">
        <v>1098</v>
      </c>
      <c r="AH128" s="12">
        <v>458</v>
      </c>
      <c r="AI128" s="3" t="s">
        <v>1094</v>
      </c>
      <c r="BE128" s="3" t="s">
        <v>1097</v>
      </c>
      <c r="BF128" s="19" t="s">
        <v>1099</v>
      </c>
      <c r="BG128" s="18">
        <v>472</v>
      </c>
      <c r="BH128" s="3" t="s">
        <v>1094</v>
      </c>
    </row>
    <row r="129" spans="21:60">
      <c r="AA129" s="24"/>
      <c r="AB129" s="24"/>
      <c r="AF129" s="3" t="s">
        <v>1100</v>
      </c>
      <c r="AG129" s="3" t="s">
        <v>1101</v>
      </c>
      <c r="AH129" s="12">
        <v>459</v>
      </c>
      <c r="AI129" s="3" t="s">
        <v>1094</v>
      </c>
      <c r="BE129" s="3" t="s">
        <v>1100</v>
      </c>
      <c r="BF129" s="19" t="s">
        <v>1102</v>
      </c>
      <c r="BG129" s="18">
        <v>611</v>
      </c>
      <c r="BH129" s="3" t="s">
        <v>1094</v>
      </c>
    </row>
    <row r="130" spans="21:60">
      <c r="U130" s="64" t="s">
        <v>1103</v>
      </c>
      <c r="V130" s="68"/>
      <c r="W130" s="62"/>
      <c r="X130" s="62"/>
      <c r="Y130" s="62"/>
      <c r="AA130" s="16"/>
      <c r="AB130" s="16"/>
      <c r="AF130" s="3" t="s">
        <v>1104</v>
      </c>
      <c r="AG130" s="3" t="s">
        <v>704</v>
      </c>
      <c r="AH130" s="12">
        <v>1236</v>
      </c>
      <c r="AI130" s="3" t="s">
        <v>1094</v>
      </c>
      <c r="BE130" s="3" t="s">
        <v>1104</v>
      </c>
      <c r="BF130" s="19" t="s">
        <v>1105</v>
      </c>
      <c r="BG130" s="18">
        <v>476</v>
      </c>
      <c r="BH130" s="3" t="s">
        <v>1094</v>
      </c>
    </row>
    <row r="131" spans="21:60">
      <c r="U131" t="s">
        <v>51</v>
      </c>
      <c r="V131" t="s">
        <v>1106</v>
      </c>
      <c r="W131" s="3" t="s">
        <v>19</v>
      </c>
      <c r="AF131" s="3" t="s">
        <v>1107</v>
      </c>
      <c r="AG131" s="13" t="s">
        <v>715</v>
      </c>
      <c r="AH131" s="12"/>
      <c r="AI131" s="3" t="s">
        <v>1068</v>
      </c>
      <c r="BE131" s="3" t="s">
        <v>1107</v>
      </c>
      <c r="BF131" s="19" t="s">
        <v>1108</v>
      </c>
      <c r="BG131" s="18">
        <v>616</v>
      </c>
      <c r="BH131" s="3" t="s">
        <v>1094</v>
      </c>
    </row>
    <row r="132" spans="21:60">
      <c r="U132" t="s">
        <v>62</v>
      </c>
      <c r="V132" s="57">
        <v>514</v>
      </c>
      <c r="W132" s="60"/>
      <c r="X132" s="60"/>
      <c r="Y132" s="60"/>
      <c r="AF132" s="3" t="s">
        <v>1109</v>
      </c>
      <c r="AG132" s="3" t="s">
        <v>1110</v>
      </c>
      <c r="AH132" s="12">
        <v>460</v>
      </c>
      <c r="AI132" s="3" t="s">
        <v>1107</v>
      </c>
      <c r="BE132" s="3" t="s">
        <v>1109</v>
      </c>
      <c r="BF132" s="19" t="s">
        <v>1111</v>
      </c>
      <c r="BG132" s="18">
        <v>617</v>
      </c>
      <c r="BH132" s="3" t="s">
        <v>1094</v>
      </c>
    </row>
    <row r="133" spans="21:60">
      <c r="U133" t="s">
        <v>291</v>
      </c>
      <c r="V133" s="56" t="s">
        <v>1112</v>
      </c>
      <c r="W133" s="60"/>
      <c r="X133" s="60"/>
      <c r="Y133" s="60"/>
      <c r="AF133" s="3" t="s">
        <v>1113</v>
      </c>
      <c r="AG133" s="3" t="s">
        <v>717</v>
      </c>
      <c r="AH133" s="12">
        <v>461</v>
      </c>
      <c r="AI133" s="3" t="s">
        <v>1107</v>
      </c>
      <c r="BE133" s="3" t="s">
        <v>1113</v>
      </c>
      <c r="BF133" s="19" t="s">
        <v>734</v>
      </c>
      <c r="BG133" s="18">
        <v>609</v>
      </c>
      <c r="BH133" s="3" t="s">
        <v>1094</v>
      </c>
    </row>
    <row r="134" spans="21:60">
      <c r="U134" t="s">
        <v>89</v>
      </c>
      <c r="V134" s="56" t="s">
        <v>1114</v>
      </c>
      <c r="W134" s="60"/>
      <c r="X134" s="60"/>
      <c r="Y134" s="60"/>
      <c r="AF134" s="3" t="s">
        <v>1115</v>
      </c>
      <c r="AG134" s="3" t="s">
        <v>718</v>
      </c>
      <c r="AH134" s="12">
        <v>462</v>
      </c>
      <c r="AI134" s="3" t="s">
        <v>1107</v>
      </c>
      <c r="BE134" s="3" t="s">
        <v>1115</v>
      </c>
      <c r="BF134" s="19" t="s">
        <v>507</v>
      </c>
      <c r="BG134" s="18">
        <v>498</v>
      </c>
      <c r="BH134" s="3" t="s">
        <v>1094</v>
      </c>
    </row>
    <row r="135" spans="21:60">
      <c r="U135" t="s">
        <v>104</v>
      </c>
      <c r="V135" s="56" t="s">
        <v>1116</v>
      </c>
      <c r="W135" s="60"/>
      <c r="X135" s="60"/>
      <c r="Y135" s="60"/>
      <c r="AF135" s="3" t="s">
        <v>1117</v>
      </c>
      <c r="AG135" s="3" t="s">
        <v>719</v>
      </c>
      <c r="AH135" s="12">
        <v>463</v>
      </c>
      <c r="AI135" s="3" t="s">
        <v>1107</v>
      </c>
      <c r="BE135" s="3" t="s">
        <v>1117</v>
      </c>
      <c r="BF135" s="42" t="s">
        <v>842</v>
      </c>
      <c r="BG135" s="18">
        <v>465</v>
      </c>
      <c r="BH135" s="3" t="s">
        <v>1094</v>
      </c>
    </row>
    <row r="136" spans="21:60">
      <c r="U136" t="s">
        <v>122</v>
      </c>
      <c r="V136" s="56" t="s">
        <v>1118</v>
      </c>
      <c r="W136" s="60"/>
      <c r="X136" s="60"/>
      <c r="Y136" s="60"/>
      <c r="AF136" s="3" t="s">
        <v>1119</v>
      </c>
      <c r="AG136" s="3" t="s">
        <v>720</v>
      </c>
      <c r="AH136" s="12">
        <v>464</v>
      </c>
      <c r="AI136" s="3" t="s">
        <v>1107</v>
      </c>
      <c r="BE136" s="3" t="s">
        <v>1119</v>
      </c>
      <c r="BF136" s="41" t="s">
        <v>777</v>
      </c>
      <c r="BG136" s="18">
        <v>571</v>
      </c>
      <c r="BH136" s="3" t="s">
        <v>1094</v>
      </c>
    </row>
    <row r="137" spans="21:60">
      <c r="U137" t="s">
        <v>139</v>
      </c>
      <c r="V137" s="56" t="s">
        <v>1120</v>
      </c>
      <c r="W137" s="60"/>
      <c r="X137" s="60"/>
      <c r="Y137" s="60"/>
      <c r="AF137" s="3" t="s">
        <v>1121</v>
      </c>
      <c r="AG137" s="3" t="s">
        <v>721</v>
      </c>
      <c r="AH137" s="12">
        <v>1223</v>
      </c>
      <c r="AI137" s="3" t="s">
        <v>1107</v>
      </c>
      <c r="BG137" s="18"/>
    </row>
    <row r="138" spans="21:60">
      <c r="U138" t="s">
        <v>161</v>
      </c>
      <c r="V138" s="56" t="s">
        <v>1122</v>
      </c>
      <c r="W138" s="60"/>
      <c r="X138" s="60"/>
      <c r="Y138" s="60"/>
      <c r="AF138" s="3" t="s">
        <v>1123</v>
      </c>
      <c r="AG138" s="3" t="s">
        <v>722</v>
      </c>
      <c r="AH138" s="12">
        <v>1224</v>
      </c>
      <c r="AI138" s="3" t="s">
        <v>1107</v>
      </c>
      <c r="BG138" s="18"/>
    </row>
    <row r="139" spans="21:60">
      <c r="U139" t="s">
        <v>177</v>
      </c>
      <c r="V139" s="56" t="s">
        <v>1124</v>
      </c>
      <c r="W139" s="60"/>
      <c r="X139" s="60"/>
      <c r="Y139" s="60"/>
      <c r="AF139" s="3" t="s">
        <v>1125</v>
      </c>
      <c r="AG139" s="3" t="s">
        <v>723</v>
      </c>
      <c r="AH139" s="12">
        <v>1225</v>
      </c>
      <c r="AI139" s="3" t="s">
        <v>1107</v>
      </c>
      <c r="BG139" s="18"/>
    </row>
    <row r="140" spans="21:60">
      <c r="U140" t="s">
        <v>196</v>
      </c>
      <c r="V140" s="56" t="s">
        <v>1126</v>
      </c>
      <c r="W140" s="60"/>
      <c r="X140" s="60"/>
      <c r="Y140" s="60"/>
      <c r="AF140" s="3" t="s">
        <v>1127</v>
      </c>
      <c r="AG140" s="3" t="s">
        <v>735</v>
      </c>
      <c r="AH140" s="12">
        <v>1226</v>
      </c>
      <c r="AI140" s="3" t="s">
        <v>1107</v>
      </c>
      <c r="BG140" s="18"/>
    </row>
    <row r="141" spans="21:60">
      <c r="U141" t="s">
        <v>217</v>
      </c>
      <c r="V141" s="56" t="s">
        <v>1128</v>
      </c>
      <c r="W141" s="60"/>
      <c r="X141" s="60"/>
      <c r="Y141" s="60"/>
      <c r="AF141" s="3" t="s">
        <v>1129</v>
      </c>
      <c r="AG141" s="3" t="s">
        <v>736</v>
      </c>
      <c r="AH141" s="12">
        <v>1227</v>
      </c>
      <c r="AI141" s="3" t="s">
        <v>1107</v>
      </c>
      <c r="BG141" s="18"/>
    </row>
    <row r="142" spans="21:60">
      <c r="U142" t="s">
        <v>231</v>
      </c>
      <c r="V142" s="56" t="s">
        <v>1130</v>
      </c>
      <c r="W142" s="60"/>
      <c r="X142" s="60"/>
      <c r="Y142" s="60"/>
      <c r="AF142" s="3" t="s">
        <v>1131</v>
      </c>
      <c r="AG142" s="3" t="s">
        <v>737</v>
      </c>
      <c r="AH142" s="12">
        <v>1228</v>
      </c>
      <c r="AI142" s="3" t="s">
        <v>1107</v>
      </c>
      <c r="BG142" s="18"/>
    </row>
    <row r="143" spans="21:60">
      <c r="AF143" s="3" t="s">
        <v>1132</v>
      </c>
      <c r="AG143" s="3" t="s">
        <v>738</v>
      </c>
      <c r="AH143" s="12">
        <v>1229</v>
      </c>
      <c r="AI143" s="3" t="s">
        <v>1107</v>
      </c>
      <c r="BF143" s="18"/>
      <c r="BG143" s="18"/>
    </row>
    <row r="144" spans="21:60">
      <c r="U144" s="64" t="s">
        <v>1133</v>
      </c>
      <c r="V144" s="68"/>
      <c r="W144" s="59"/>
      <c r="X144" s="59"/>
      <c r="Y144" s="59"/>
      <c r="AF144" s="3" t="s">
        <v>1134</v>
      </c>
      <c r="AG144" s="3" t="s">
        <v>739</v>
      </c>
      <c r="AH144" s="12">
        <v>1230</v>
      </c>
      <c r="AI144" s="3" t="s">
        <v>1107</v>
      </c>
      <c r="BF144" s="18"/>
      <c r="BG144" s="18"/>
    </row>
    <row r="145" spans="21:59">
      <c r="U145" t="s">
        <v>51</v>
      </c>
      <c r="V145" t="s">
        <v>1135</v>
      </c>
      <c r="W145" t="s">
        <v>1136</v>
      </c>
      <c r="X145" t="s">
        <v>1137</v>
      </c>
      <c r="Y145" t="s">
        <v>923</v>
      </c>
      <c r="AF145" s="3" t="s">
        <v>1138</v>
      </c>
      <c r="AG145" s="3" t="s">
        <v>740</v>
      </c>
      <c r="AH145" s="12">
        <v>1231</v>
      </c>
      <c r="AI145" s="3" t="s">
        <v>1107</v>
      </c>
      <c r="BG145" s="18"/>
    </row>
    <row r="146" spans="21:59">
      <c r="U146" t="s">
        <v>62</v>
      </c>
      <c r="V146" s="57">
        <v>1778</v>
      </c>
      <c r="W146" s="57">
        <v>537</v>
      </c>
      <c r="X146" s="57">
        <v>538</v>
      </c>
      <c r="Y146" s="57">
        <v>563</v>
      </c>
      <c r="AA146" s="16"/>
      <c r="AB146" s="16"/>
      <c r="AF146" s="3" t="s">
        <v>1139</v>
      </c>
      <c r="AG146" s="3" t="s">
        <v>741</v>
      </c>
      <c r="AH146" s="12">
        <v>1232</v>
      </c>
      <c r="AI146" s="3" t="s">
        <v>1107</v>
      </c>
      <c r="BG146" s="18"/>
    </row>
    <row r="147" spans="21:59">
      <c r="U147" t="s">
        <v>291</v>
      </c>
      <c r="V147" s="56" t="s">
        <v>1140</v>
      </c>
      <c r="W147" s="57" t="s">
        <v>1141</v>
      </c>
      <c r="X147" s="57" t="s">
        <v>1142</v>
      </c>
      <c r="Y147" s="57" t="s">
        <v>1143</v>
      </c>
      <c r="AA147" s="16"/>
      <c r="AB147" s="16"/>
      <c r="AF147" s="3" t="s">
        <v>1144</v>
      </c>
      <c r="AG147" s="3" t="s">
        <v>742</v>
      </c>
      <c r="AH147" s="12">
        <v>1233</v>
      </c>
      <c r="AI147" s="3" t="s">
        <v>1107</v>
      </c>
      <c r="BG147" s="18"/>
    </row>
    <row r="148" spans="21:59">
      <c r="U148" t="s">
        <v>89</v>
      </c>
      <c r="V148" s="56" t="s">
        <v>1145</v>
      </c>
      <c r="W148" s="57" t="s">
        <v>1146</v>
      </c>
      <c r="X148" s="57" t="s">
        <v>1147</v>
      </c>
      <c r="Y148" s="57" t="s">
        <v>1148</v>
      </c>
      <c r="AA148" s="17"/>
      <c r="AB148" s="17"/>
      <c r="AF148" s="3" t="s">
        <v>1149</v>
      </c>
      <c r="AG148" s="3" t="s">
        <v>754</v>
      </c>
      <c r="AH148" s="12">
        <v>1234</v>
      </c>
      <c r="AI148" s="3" t="s">
        <v>1107</v>
      </c>
      <c r="BG148" s="18"/>
    </row>
    <row r="149" spans="21:59">
      <c r="U149" t="s">
        <v>104</v>
      </c>
      <c r="V149" s="56" t="s">
        <v>1150</v>
      </c>
      <c r="W149" s="57" t="s">
        <v>1151</v>
      </c>
      <c r="X149" s="57" t="s">
        <v>1152</v>
      </c>
      <c r="Y149" s="57" t="s">
        <v>1153</v>
      </c>
      <c r="AA149" s="11"/>
      <c r="AB149" s="11"/>
      <c r="AF149" s="3" t="s">
        <v>1154</v>
      </c>
      <c r="AG149" s="3" t="s">
        <v>755</v>
      </c>
      <c r="AH149" s="12">
        <v>1235</v>
      </c>
      <c r="AI149" s="3" t="s">
        <v>1107</v>
      </c>
      <c r="BG149" s="18"/>
    </row>
    <row r="150" spans="21:59">
      <c r="U150" t="s">
        <v>122</v>
      </c>
      <c r="V150" s="56" t="s">
        <v>1155</v>
      </c>
      <c r="W150" s="57" t="s">
        <v>1156</v>
      </c>
      <c r="X150" s="57" t="s">
        <v>1157</v>
      </c>
      <c r="Y150" s="57" t="s">
        <v>1158</v>
      </c>
      <c r="AF150" s="3" t="s">
        <v>1159</v>
      </c>
      <c r="AG150" s="3" t="s">
        <v>756</v>
      </c>
      <c r="AH150" s="12">
        <v>1661</v>
      </c>
      <c r="AI150" s="3" t="s">
        <v>1107</v>
      </c>
      <c r="BG150" s="18"/>
    </row>
    <row r="151" spans="21:59">
      <c r="U151" t="s">
        <v>139</v>
      </c>
      <c r="V151" s="56" t="s">
        <v>1160</v>
      </c>
      <c r="W151" s="57" t="s">
        <v>1161</v>
      </c>
      <c r="X151" s="57" t="s">
        <v>1162</v>
      </c>
      <c r="Y151" s="57" t="s">
        <v>1163</v>
      </c>
      <c r="AF151" s="3" t="s">
        <v>1164</v>
      </c>
      <c r="AG151" s="13" t="s">
        <v>760</v>
      </c>
      <c r="AH151" s="12"/>
      <c r="AI151" s="3" t="s">
        <v>1068</v>
      </c>
      <c r="BG151" s="18"/>
    </row>
    <row r="152" spans="21:59">
      <c r="U152" t="s">
        <v>161</v>
      </c>
      <c r="V152" s="56" t="s">
        <v>1165</v>
      </c>
      <c r="W152" s="57" t="s">
        <v>1166</v>
      </c>
      <c r="X152" s="57" t="s">
        <v>1167</v>
      </c>
      <c r="Y152" s="57" t="s">
        <v>1168</v>
      </c>
      <c r="AF152" s="3" t="s">
        <v>1169</v>
      </c>
      <c r="AG152" s="3" t="s">
        <v>842</v>
      </c>
      <c r="AH152" s="12">
        <v>465</v>
      </c>
      <c r="AI152" s="3" t="s">
        <v>1164</v>
      </c>
      <c r="BG152" s="18"/>
    </row>
    <row r="153" spans="21:59">
      <c r="U153" t="s">
        <v>177</v>
      </c>
      <c r="V153" s="56" t="s">
        <v>1170</v>
      </c>
      <c r="W153" s="57" t="s">
        <v>1171</v>
      </c>
      <c r="X153" s="57" t="s">
        <v>1172</v>
      </c>
      <c r="Y153" s="57" t="s">
        <v>1173</v>
      </c>
      <c r="AF153" s="3" t="s">
        <v>1174</v>
      </c>
      <c r="AG153" s="3" t="s">
        <v>1175</v>
      </c>
      <c r="AH153" s="12">
        <v>466</v>
      </c>
      <c r="AI153" s="3" t="s">
        <v>1164</v>
      </c>
      <c r="BG153" s="36"/>
    </row>
    <row r="154" spans="21:59">
      <c r="U154" t="s">
        <v>196</v>
      </c>
      <c r="V154" s="56" t="s">
        <v>1176</v>
      </c>
      <c r="W154" s="57" t="s">
        <v>1177</v>
      </c>
      <c r="X154" s="57" t="s">
        <v>1178</v>
      </c>
      <c r="Y154" s="57" t="s">
        <v>1179</v>
      </c>
      <c r="AF154" s="3" t="s">
        <v>1180</v>
      </c>
      <c r="AG154" s="3" t="s">
        <v>1181</v>
      </c>
      <c r="AH154" s="12">
        <v>467</v>
      </c>
      <c r="AI154" s="3" t="s">
        <v>1164</v>
      </c>
      <c r="BG154" s="36"/>
    </row>
    <row r="155" spans="21:59">
      <c r="U155" t="s">
        <v>217</v>
      </c>
      <c r="V155" s="56" t="s">
        <v>1182</v>
      </c>
      <c r="W155" s="57" t="s">
        <v>1183</v>
      </c>
      <c r="X155" s="57" t="s">
        <v>1184</v>
      </c>
      <c r="Y155" s="57" t="s">
        <v>1185</v>
      </c>
      <c r="AA155" s="45"/>
      <c r="AB155" s="39"/>
      <c r="AF155" s="3" t="s">
        <v>1186</v>
      </c>
      <c r="AG155" s="3" t="s">
        <v>717</v>
      </c>
      <c r="AH155" s="12">
        <v>468</v>
      </c>
      <c r="AI155" s="3" t="s">
        <v>1164</v>
      </c>
    </row>
    <row r="156" spans="21:59">
      <c r="U156" t="s">
        <v>231</v>
      </c>
      <c r="V156" s="56" t="s">
        <v>1187</v>
      </c>
      <c r="W156" s="57" t="s">
        <v>1188</v>
      </c>
      <c r="X156" s="57" t="s">
        <v>1189</v>
      </c>
      <c r="Y156" s="57" t="s">
        <v>1190</v>
      </c>
      <c r="AA156" s="24"/>
      <c r="AB156" s="24"/>
      <c r="AF156" s="3" t="s">
        <v>1191</v>
      </c>
      <c r="AG156" s="3" t="s">
        <v>718</v>
      </c>
      <c r="AH156" s="12">
        <v>469</v>
      </c>
      <c r="AI156" s="3" t="s">
        <v>1164</v>
      </c>
    </row>
    <row r="157" spans="21:59">
      <c r="AA157" s="16"/>
      <c r="AB157" s="16"/>
      <c r="AF157" s="3" t="s">
        <v>1192</v>
      </c>
      <c r="AG157" s="3" t="s">
        <v>719</v>
      </c>
      <c r="AH157" s="12">
        <v>470</v>
      </c>
      <c r="AI157" s="3" t="s">
        <v>1164</v>
      </c>
    </row>
    <row r="158" spans="21:59">
      <c r="U158" s="64" t="s">
        <v>1193</v>
      </c>
      <c r="V158" s="68"/>
      <c r="W158" s="59"/>
      <c r="X158" s="59"/>
      <c r="Y158" s="62"/>
      <c r="AA158" s="16"/>
      <c r="AB158" s="16"/>
      <c r="AF158" s="3" t="s">
        <v>1194</v>
      </c>
      <c r="AG158" s="3" t="s">
        <v>720</v>
      </c>
      <c r="AH158" s="12">
        <v>471</v>
      </c>
      <c r="AI158" s="3" t="s">
        <v>1164</v>
      </c>
    </row>
    <row r="159" spans="21:59">
      <c r="U159" t="s">
        <v>51</v>
      </c>
      <c r="V159" t="s">
        <v>1195</v>
      </c>
      <c r="W159" t="s">
        <v>1196</v>
      </c>
      <c r="X159" t="s">
        <v>1197</v>
      </c>
      <c r="Y159" s="3" t="s">
        <v>19</v>
      </c>
      <c r="AA159" s="17"/>
      <c r="AB159" s="17"/>
      <c r="AF159" s="3" t="s">
        <v>1198</v>
      </c>
      <c r="AG159" s="3" t="s">
        <v>721</v>
      </c>
      <c r="AH159" s="12">
        <v>1237</v>
      </c>
      <c r="AI159" s="3" t="s">
        <v>1164</v>
      </c>
    </row>
    <row r="160" spans="21:59">
      <c r="U160" t="s">
        <v>62</v>
      </c>
      <c r="V160" s="57">
        <v>540</v>
      </c>
      <c r="W160" s="57">
        <v>541</v>
      </c>
      <c r="X160" s="57">
        <v>542</v>
      </c>
      <c r="Y160" s="60"/>
      <c r="AF160" s="3" t="s">
        <v>1199</v>
      </c>
      <c r="AG160" s="3" t="s">
        <v>722</v>
      </c>
      <c r="AH160" s="12">
        <v>1238</v>
      </c>
      <c r="AI160" s="3" t="s">
        <v>1164</v>
      </c>
    </row>
    <row r="161" spans="21:35">
      <c r="U161" t="s">
        <v>291</v>
      </c>
      <c r="V161" s="56" t="s">
        <v>1200</v>
      </c>
      <c r="W161" s="57" t="s">
        <v>1201</v>
      </c>
      <c r="X161" s="57" t="s">
        <v>1202</v>
      </c>
      <c r="Y161" s="60"/>
      <c r="AF161" s="3" t="s">
        <v>1203</v>
      </c>
      <c r="AG161" s="3" t="s">
        <v>723</v>
      </c>
      <c r="AH161" s="12">
        <v>1239</v>
      </c>
      <c r="AI161" s="3" t="s">
        <v>1164</v>
      </c>
    </row>
    <row r="162" spans="21:35">
      <c r="U162" t="s">
        <v>89</v>
      </c>
      <c r="V162" s="56" t="s">
        <v>1204</v>
      </c>
      <c r="W162" s="57" t="s">
        <v>1205</v>
      </c>
      <c r="X162" s="57" t="s">
        <v>1206</v>
      </c>
      <c r="Y162" s="60"/>
      <c r="AF162" s="3" t="s">
        <v>1207</v>
      </c>
      <c r="AG162" s="3" t="s">
        <v>735</v>
      </c>
      <c r="AH162" s="12">
        <v>1240</v>
      </c>
      <c r="AI162" s="3" t="s">
        <v>1164</v>
      </c>
    </row>
    <row r="163" spans="21:35">
      <c r="U163" t="s">
        <v>104</v>
      </c>
      <c r="V163" s="56" t="s">
        <v>1208</v>
      </c>
      <c r="W163" s="57" t="s">
        <v>1209</v>
      </c>
      <c r="X163" s="57" t="s">
        <v>1210</v>
      </c>
      <c r="Y163" s="60"/>
      <c r="AF163" s="3" t="s">
        <v>1211</v>
      </c>
      <c r="AG163" s="3" t="s">
        <v>736</v>
      </c>
      <c r="AH163" s="12">
        <v>1241</v>
      </c>
      <c r="AI163" s="3" t="s">
        <v>1164</v>
      </c>
    </row>
    <row r="164" spans="21:35">
      <c r="U164" t="s">
        <v>122</v>
      </c>
      <c r="V164" s="56" t="s">
        <v>1212</v>
      </c>
      <c r="W164" s="57" t="s">
        <v>1213</v>
      </c>
      <c r="X164" s="57" t="s">
        <v>1214</v>
      </c>
      <c r="Y164" s="60"/>
      <c r="AF164" s="3" t="s">
        <v>1215</v>
      </c>
      <c r="AG164" s="3" t="s">
        <v>737</v>
      </c>
      <c r="AH164" s="12">
        <v>1242</v>
      </c>
      <c r="AI164" s="3" t="s">
        <v>1164</v>
      </c>
    </row>
    <row r="165" spans="21:35">
      <c r="U165" t="s">
        <v>139</v>
      </c>
      <c r="V165" s="56" t="s">
        <v>1216</v>
      </c>
      <c r="W165" s="57" t="s">
        <v>1217</v>
      </c>
      <c r="X165" s="57" t="s">
        <v>1218</v>
      </c>
      <c r="Y165" s="60"/>
      <c r="AF165" s="3" t="s">
        <v>1219</v>
      </c>
      <c r="AG165" s="3" t="s">
        <v>738</v>
      </c>
      <c r="AH165" s="12">
        <v>1243</v>
      </c>
      <c r="AI165" s="3" t="s">
        <v>1164</v>
      </c>
    </row>
    <row r="166" spans="21:35">
      <c r="U166" t="s">
        <v>161</v>
      </c>
      <c r="V166" s="56" t="s">
        <v>1220</v>
      </c>
      <c r="W166" s="57" t="s">
        <v>1221</v>
      </c>
      <c r="X166" s="57" t="s">
        <v>1222</v>
      </c>
      <c r="Y166" s="60"/>
      <c r="AF166" s="3" t="s">
        <v>1223</v>
      </c>
      <c r="AG166" s="3" t="s">
        <v>739</v>
      </c>
      <c r="AH166" s="12">
        <v>1244</v>
      </c>
      <c r="AI166" s="3" t="s">
        <v>1164</v>
      </c>
    </row>
    <row r="167" spans="21:35">
      <c r="U167" t="s">
        <v>177</v>
      </c>
      <c r="V167" s="56" t="s">
        <v>1224</v>
      </c>
      <c r="W167" s="57" t="s">
        <v>1225</v>
      </c>
      <c r="X167" s="57" t="s">
        <v>1226</v>
      </c>
      <c r="Y167" s="60"/>
      <c r="AF167" s="3" t="s">
        <v>1227</v>
      </c>
      <c r="AG167" s="3" t="s">
        <v>740</v>
      </c>
      <c r="AH167" s="12">
        <v>1245</v>
      </c>
      <c r="AI167" s="3" t="s">
        <v>1164</v>
      </c>
    </row>
    <row r="168" spans="21:35">
      <c r="U168" t="s">
        <v>196</v>
      </c>
      <c r="V168" s="56" t="s">
        <v>1228</v>
      </c>
      <c r="W168" s="57" t="s">
        <v>1229</v>
      </c>
      <c r="X168" s="57" t="s">
        <v>1230</v>
      </c>
      <c r="Y168" s="60"/>
      <c r="AF168" s="3" t="s">
        <v>1231</v>
      </c>
      <c r="AG168" s="3" t="s">
        <v>741</v>
      </c>
      <c r="AH168" s="12">
        <v>1246</v>
      </c>
      <c r="AI168" s="3" t="s">
        <v>1164</v>
      </c>
    </row>
    <row r="169" spans="21:35">
      <c r="U169" t="s">
        <v>217</v>
      </c>
      <c r="V169" s="56" t="s">
        <v>1232</v>
      </c>
      <c r="W169" s="57" t="s">
        <v>1233</v>
      </c>
      <c r="X169" s="57" t="s">
        <v>1234</v>
      </c>
      <c r="Y169" s="60"/>
      <c r="AF169" s="3" t="s">
        <v>1235</v>
      </c>
      <c r="AG169" s="3" t="s">
        <v>742</v>
      </c>
      <c r="AH169" s="12">
        <v>1247</v>
      </c>
      <c r="AI169" s="3" t="s">
        <v>1164</v>
      </c>
    </row>
    <row r="170" spans="21:35">
      <c r="U170" t="s">
        <v>231</v>
      </c>
      <c r="V170" s="56" t="s">
        <v>1236</v>
      </c>
      <c r="W170" s="57" t="s">
        <v>1237</v>
      </c>
      <c r="X170" s="57" t="s">
        <v>1238</v>
      </c>
      <c r="Y170" s="60"/>
      <c r="AF170" s="3" t="s">
        <v>1239</v>
      </c>
      <c r="AG170" s="3" t="s">
        <v>754</v>
      </c>
      <c r="AH170" s="12">
        <v>1248</v>
      </c>
      <c r="AI170" s="3" t="s">
        <v>1164</v>
      </c>
    </row>
    <row r="171" spans="21:35">
      <c r="AA171" s="46"/>
      <c r="AF171" s="3" t="s">
        <v>1240</v>
      </c>
      <c r="AG171" s="3" t="s">
        <v>755</v>
      </c>
      <c r="AH171" s="12">
        <v>1249</v>
      </c>
      <c r="AI171" s="3" t="s">
        <v>1164</v>
      </c>
    </row>
    <row r="172" spans="21:35">
      <c r="U172" s="64" t="s">
        <v>1241</v>
      </c>
      <c r="V172" s="68"/>
      <c r="W172" s="59"/>
      <c r="X172" s="59"/>
      <c r="Y172" s="59"/>
      <c r="AA172" s="24"/>
      <c r="AB172" s="24"/>
      <c r="AF172" s="3" t="s">
        <v>1242</v>
      </c>
      <c r="AG172" s="3" t="s">
        <v>756</v>
      </c>
      <c r="AH172" s="12">
        <v>1662</v>
      </c>
      <c r="AI172" s="3" t="s">
        <v>1164</v>
      </c>
    </row>
    <row r="173" spans="21:35">
      <c r="U173" t="s">
        <v>51</v>
      </c>
      <c r="V173" t="s">
        <v>1243</v>
      </c>
      <c r="W173" s="3" t="s">
        <v>19</v>
      </c>
      <c r="X173" s="3" t="s">
        <v>988</v>
      </c>
      <c r="Y173" s="3" t="s">
        <v>1244</v>
      </c>
      <c r="AA173" s="16"/>
      <c r="AB173" s="16"/>
      <c r="AF173" s="3" t="s">
        <v>1245</v>
      </c>
      <c r="AG173" s="28" t="s">
        <v>522</v>
      </c>
      <c r="AH173" s="12"/>
      <c r="AI173" s="47" t="s">
        <v>63</v>
      </c>
    </row>
    <row r="174" spans="21:35">
      <c r="U174" t="s">
        <v>62</v>
      </c>
      <c r="V174" s="57">
        <v>1251</v>
      </c>
      <c r="W174" s="60"/>
      <c r="X174" s="60"/>
      <c r="Y174" s="60"/>
      <c r="AA174" s="16"/>
      <c r="AB174" s="16"/>
      <c r="AF174" s="3" t="s">
        <v>1246</v>
      </c>
      <c r="AG174" s="15" t="s">
        <v>1247</v>
      </c>
      <c r="AH174" s="12">
        <v>620</v>
      </c>
      <c r="AI174" s="47" t="s">
        <v>1245</v>
      </c>
    </row>
    <row r="175" spans="21:35">
      <c r="U175" t="s">
        <v>291</v>
      </c>
      <c r="V175" s="56" t="s">
        <v>1248</v>
      </c>
      <c r="W175" s="60"/>
      <c r="X175" s="60"/>
      <c r="Y175" s="60"/>
      <c r="AF175" s="3" t="s">
        <v>1249</v>
      </c>
      <c r="AG175" s="15" t="s">
        <v>524</v>
      </c>
      <c r="AH175" s="12">
        <v>621</v>
      </c>
      <c r="AI175" s="47" t="s">
        <v>1245</v>
      </c>
    </row>
    <row r="176" spans="21:35">
      <c r="U176" t="s">
        <v>89</v>
      </c>
      <c r="V176" s="56" t="s">
        <v>1250</v>
      </c>
      <c r="W176" s="60"/>
      <c r="X176" s="60"/>
      <c r="Y176" s="60"/>
      <c r="AF176" s="3" t="s">
        <v>1251</v>
      </c>
      <c r="AG176" s="15" t="s">
        <v>1252</v>
      </c>
      <c r="AH176" s="12">
        <v>622</v>
      </c>
      <c r="AI176" s="47" t="s">
        <v>1245</v>
      </c>
    </row>
    <row r="177" spans="21:35">
      <c r="U177" t="s">
        <v>104</v>
      </c>
      <c r="V177" s="56" t="s">
        <v>1253</v>
      </c>
      <c r="W177" s="60"/>
      <c r="X177" s="60"/>
      <c r="Y177" s="60"/>
      <c r="AF177" s="3" t="s">
        <v>1254</v>
      </c>
      <c r="AG177" s="15" t="s">
        <v>1255</v>
      </c>
      <c r="AH177" s="12">
        <v>623</v>
      </c>
      <c r="AI177" s="47" t="s">
        <v>1245</v>
      </c>
    </row>
    <row r="178" spans="21:35">
      <c r="U178" t="s">
        <v>122</v>
      </c>
      <c r="V178" s="56" t="s">
        <v>1256</v>
      </c>
      <c r="W178" s="60"/>
      <c r="X178" s="60"/>
      <c r="Y178" s="60"/>
      <c r="AF178" s="3" t="s">
        <v>1257</v>
      </c>
      <c r="AG178" s="15" t="s">
        <v>1258</v>
      </c>
      <c r="AH178" s="12">
        <v>624</v>
      </c>
      <c r="AI178" s="47" t="s">
        <v>1245</v>
      </c>
    </row>
    <row r="179" spans="21:35">
      <c r="U179" t="s">
        <v>139</v>
      </c>
      <c r="V179" s="56" t="s">
        <v>1259</v>
      </c>
      <c r="W179" s="60"/>
      <c r="X179" s="60"/>
      <c r="Y179" s="60"/>
      <c r="AF179" s="3" t="s">
        <v>1260</v>
      </c>
      <c r="AG179" s="15" t="s">
        <v>37</v>
      </c>
      <c r="AH179" s="12">
        <v>625</v>
      </c>
      <c r="AI179" s="47" t="s">
        <v>1245</v>
      </c>
    </row>
    <row r="180" spans="21:35">
      <c r="U180" t="s">
        <v>161</v>
      </c>
      <c r="V180" s="56" t="s">
        <v>1261</v>
      </c>
      <c r="W180" s="60"/>
      <c r="X180" s="60"/>
      <c r="Y180" s="60"/>
      <c r="AH180" s="12"/>
    </row>
    <row r="181" spans="21:35">
      <c r="U181" t="s">
        <v>177</v>
      </c>
      <c r="V181" s="56" t="s">
        <v>1262</v>
      </c>
      <c r="W181" s="60"/>
      <c r="X181" s="60"/>
      <c r="Y181" s="60"/>
      <c r="AH181" s="12"/>
    </row>
    <row r="182" spans="21:35">
      <c r="U182" t="s">
        <v>196</v>
      </c>
      <c r="V182" s="56" t="s">
        <v>1263</v>
      </c>
      <c r="W182" s="60"/>
      <c r="X182" s="60"/>
      <c r="Y182" s="60"/>
      <c r="AH182" s="12"/>
    </row>
    <row r="183" spans="21:35">
      <c r="U183" t="s">
        <v>217</v>
      </c>
      <c r="V183" s="56" t="s">
        <v>1264</v>
      </c>
      <c r="W183" s="60"/>
      <c r="X183" s="60"/>
      <c r="Y183" s="60"/>
      <c r="AH183" s="12"/>
    </row>
    <row r="184" spans="21:35">
      <c r="U184" t="s">
        <v>231</v>
      </c>
      <c r="V184" s="56" t="s">
        <v>1265</v>
      </c>
      <c r="W184" s="60"/>
      <c r="X184" s="60"/>
      <c r="Y184" s="60"/>
      <c r="AH184" s="12"/>
    </row>
    <row r="185" spans="21:35">
      <c r="AH185" s="12"/>
    </row>
    <row r="186" spans="21:35">
      <c r="AH186" s="12"/>
    </row>
    <row r="187" spans="21:35">
      <c r="AH187" s="12"/>
    </row>
    <row r="188" spans="21:35">
      <c r="AH188" s="12"/>
    </row>
  </sheetData>
  <mergeCells count="20">
    <mergeCell ref="U144:V144"/>
    <mergeCell ref="U158:V158"/>
    <mergeCell ref="U172:V172"/>
    <mergeCell ref="U87:W87"/>
    <mergeCell ref="U101:W101"/>
    <mergeCell ref="U115:W115"/>
    <mergeCell ref="U130:V130"/>
    <mergeCell ref="AA60:AB60"/>
    <mergeCell ref="BE3:BH3"/>
    <mergeCell ref="AF3:AI3"/>
    <mergeCell ref="AK3:AN3"/>
    <mergeCell ref="AP3:AS3"/>
    <mergeCell ref="AU3:AX3"/>
    <mergeCell ref="AZ3:BC3"/>
    <mergeCell ref="U59:X59"/>
    <mergeCell ref="U73:X73"/>
    <mergeCell ref="U3:Y3"/>
    <mergeCell ref="U17:X17"/>
    <mergeCell ref="U31:X31"/>
    <mergeCell ref="U45:X45"/>
  </mergeCells>
  <phoneticPr fontId="5" type="noConversion"/>
  <pageMargins left="0.7" right="0.7" top="0.75" bottom="0.75" header="0.3" footer="0.3"/>
  <pageSetup paperSize="9" orientation="portrait" r:id="rId1"/>
  <tableParts count="2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C317CB2B11443B4B9B28E6FA7B075" ma:contentTypeVersion="11" ma:contentTypeDescription="Create a new document." ma:contentTypeScope="" ma:versionID="b5ff60df80d4dd1bab05d9cef417994d">
  <xsd:schema xmlns:xsd="http://www.w3.org/2001/XMLSchema" xmlns:xs="http://www.w3.org/2001/XMLSchema" xmlns:p="http://schemas.microsoft.com/office/2006/metadata/properties" xmlns:ns2="e6eb212e-24f2-45b3-b05d-e97c5a53cc20" xmlns:ns3="c3b49df0-3274-4438-892f-218a509f727e" targetNamespace="http://schemas.microsoft.com/office/2006/metadata/properties" ma:root="true" ma:fieldsID="a5c37da93497495414b627c8c852dd3d" ns2:_="" ns3:_="">
    <xsd:import namespace="e6eb212e-24f2-45b3-b05d-e97c5a53cc20"/>
    <xsd:import namespace="c3b49df0-3274-4438-892f-218a509f72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b212e-24f2-45b3-b05d-e97c5a53cc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49df0-3274-4438-892f-218a509f727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6B4BB2-1325-4E0A-8EC8-D225FA283AEF}"/>
</file>

<file path=customXml/itemProps2.xml><?xml version="1.0" encoding="utf-8"?>
<ds:datastoreItem xmlns:ds="http://schemas.openxmlformats.org/officeDocument/2006/customXml" ds:itemID="{259E2537-FA03-43E9-A663-1A3CBB747326}"/>
</file>

<file path=customXml/itemProps3.xml><?xml version="1.0" encoding="utf-8"?>
<ds:datastoreItem xmlns:ds="http://schemas.openxmlformats.org/officeDocument/2006/customXml" ds:itemID="{AB3DDBBB-6BB8-4C85-9B49-F372B9B091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</dc:creator>
  <cp:keywords/>
  <dc:description/>
  <cp:lastModifiedBy>Josh Geelan</cp:lastModifiedBy>
  <cp:revision/>
  <dcterms:created xsi:type="dcterms:W3CDTF">2020-01-10T03:14:41Z</dcterms:created>
  <dcterms:modified xsi:type="dcterms:W3CDTF">2021-05-23T23:15:50Z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0x010100E06C317CB2B11443B4B9B28E6FA7B075</vt:lpwstr>
  </property>
</Properties>
</file>